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worksheets/sheet4.xml" ContentType="application/vnd.openxmlformats-officedocument.spreadsheetml.worksheet+xml"/>
  <Override PartName="/xl/drawings/drawing2.xml" ContentType="application/vnd.openxmlformats-officedocument.drawing+xml"/>
  <Override PartName="/xl/pivotCache/pivotCacheRecords2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Tables/pivotTable2.xml" ContentType="application/vnd.openxmlformats-officedocument.spreadsheetml.pivotTable+xml"/>
  <Override PartName="/xl/worksheets/sheet5.xml" ContentType="application/vnd.openxmlformats-officedocument.spreadsheetml.worksheet+xml"/>
  <Override PartName="/xl/drawings/drawing3.xml" ContentType="application/vnd.openxmlformats-officedocument.drawing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pivotTable3.xml" ContentType="application/vnd.openxmlformats-officedocument.spreadsheetml.pivot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drawings/drawing4.xml" ContentType="application/vnd.openxmlformats-officedocument.drawing+xml"/>
  <Override PartName="/xl/pivotCache/pivotCacheRecords4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Tables/pivotTable4.xml" ContentType="application/vnd.openxmlformats-officedocument.spreadsheetml.pivotTable+xml"/>
  <Override PartName="/xl/worksheets/sheet8.xml" ContentType="application/vnd.openxmlformats-officedocument.spreadsheetml.worksheet+xml"/>
  <Override PartName="/xl/drawings/drawing5.xml" ContentType="application/vnd.openxmlformats-officedocument.drawing+xml"/>
  <Override PartName="/xl/pivotTables/pivotTable5.xml" ContentType="application/vnd.openxmlformats-officedocument.spreadsheetml.pivotTable+xml"/>
  <Override PartName="/xl/worksheets/sheet9.xml" ContentType="application/vnd.openxmlformats-officedocument.spreadsheetml.worksheet+xml"/>
  <Override PartName="/xl/drawings/drawing6.xml" ContentType="application/vnd.openxmlformats-officedocument.drawing+xml"/>
  <Override PartName="/xl/pivotCache/pivotCacheRecords5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Tables/pivotTable6.xml" ContentType="application/vnd.openxmlformats-officedocument.spreadsheetml.pivotTable+xml"/>
  <Override PartName="/xl/worksheets/sheet10.xml" ContentType="application/vnd.openxmlformats-officedocument.spreadsheetml.worksheet+xml"/>
  <Override PartName="/xl/drawings/drawing7.xml" ContentType="application/vnd.openxmlformats-officedocument.drawing+xml"/>
  <Override PartName="/xl/pivotCache/pivotCacheRecords6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Tables/pivotTable7.xml" ContentType="application/vnd.openxmlformats-officedocument.spreadsheetml.pivotTable+xml"/>
  <Override PartName="/xl/worksheets/sheet11.xml" ContentType="application/vnd.openxmlformats-officedocument.spreadsheetml.worksheet+xml"/>
  <Override PartName="/xl/drawings/drawing8.xml" ContentType="application/vnd.openxmlformats-officedocument.drawing+xml"/>
  <Override PartName="/xl/pivotTables/pivotTable8.xml" ContentType="application/vnd.openxmlformats-officedocument.spreadsheetml.pivotTable+xml"/>
  <Override PartName="/xl/worksheets/sheet12.xml" ContentType="application/vnd.openxmlformats-officedocument.spreadsheetml.worksheet+xml"/>
  <Override PartName="/xl/drawings/drawing9.xml" ContentType="application/vnd.openxmlformats-officedocument.drawing+xml"/>
  <Override PartName="/xl/pivotTables/pivotTable9.xml" ContentType="application/vnd.openxmlformats-officedocument.spreadsheetml.pivotTable+xml"/>
  <Override PartName="/xl/worksheets/sheet13.xml" ContentType="application/vnd.openxmlformats-officedocument.spreadsheetml.worksheet+xml"/>
  <Override PartName="/xl/drawings/drawing10.xml" ContentType="application/vnd.openxmlformats-officedocument.drawing+xml"/>
  <Override PartName="/xl/pivotTables/pivotTable10.xml" ContentType="application/vnd.openxmlformats-officedocument.spreadsheetml.pivotTable+xml"/>
  <Override PartName="/xl/worksheets/sheet14.xml" ContentType="application/vnd.openxmlformats-officedocument.spreadsheetml.worksheet+xml"/>
  <Override PartName="/xl/drawings/drawing11.xml" ContentType="application/vnd.openxmlformats-officedocument.drawing+xml"/>
  <Override PartName="/xl/pivotTables/pivotTable11.xml" ContentType="application/vnd.openxmlformats-officedocument.spreadsheetml.pivotTable+xml"/>
  <Override PartName="/xl/worksheets/sheet15.xml" ContentType="application/vnd.openxmlformats-officedocument.spreadsheetml.worksheet+xml"/>
  <Override PartName="/xl/drawings/drawing12.xml" ContentType="application/vnd.openxmlformats-officedocument.drawing+xml"/>
  <Override PartName="/xl/pivotCache/pivotCacheRecords7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Tables/pivotTable12.xml" ContentType="application/vnd.openxmlformats-officedocument.spreadsheetml.pivotTable+xml"/>
  <Override PartName="/xl/worksheets/sheet16.xml" ContentType="application/vnd.openxmlformats-officedocument.spreadsheetml.worksheet+xml"/>
  <Override PartName="/xl/drawings/drawing13.xml" ContentType="application/vnd.openxmlformats-officedocument.drawing+xml"/>
  <Override PartName="/xl/pivotTables/pivotTable13.xml" ContentType="application/vnd.openxmlformats-officedocument.spreadsheetml.pivotTable+xml"/>
  <Override PartName="/xl/worksheets/sheet1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25200" windowHeight="11880" tabRatio="604" firstSheet="1" activeTab="5" autoFilterDateGrouping="1"/>
  </bookViews>
  <sheets>
    <sheet xmlns:r="http://schemas.openxmlformats.org/officeDocument/2006/relationships" name="Flujo de Fondos (2)" sheetId="1" state="visible" r:id="rId1"/>
    <sheet xmlns:r="http://schemas.openxmlformats.org/officeDocument/2006/relationships" name="Flujo de Fondos" sheetId="2" state="visible" r:id="rId2"/>
    <sheet xmlns:r="http://schemas.openxmlformats.org/officeDocument/2006/relationships" name="Hoja3" sheetId="3" state="hidden" r:id="rId3"/>
    <sheet xmlns:r="http://schemas.openxmlformats.org/officeDocument/2006/relationships" name="30-38" sheetId="4" state="visible" r:id="rId4"/>
    <sheet xmlns:r="http://schemas.openxmlformats.org/officeDocument/2006/relationships" name="Grafico Paridades bkp" sheetId="5" state="visible" r:id="rId5"/>
    <sheet xmlns:r="http://schemas.openxmlformats.org/officeDocument/2006/relationships" name="Paridad usd" sheetId="6" state="visible" r:id="rId6"/>
    <sheet xmlns:r="http://schemas.openxmlformats.org/officeDocument/2006/relationships" name="Grafico Paridades" sheetId="7" state="visible" r:id="rId7"/>
    <sheet xmlns:r="http://schemas.openxmlformats.org/officeDocument/2006/relationships" name="g29-41" sheetId="8" state="visible" r:id="rId8"/>
    <sheet xmlns:r="http://schemas.openxmlformats.org/officeDocument/2006/relationships" name="g29-29" sheetId="9" state="visible" r:id="rId9"/>
    <sheet xmlns:r="http://schemas.openxmlformats.org/officeDocument/2006/relationships" name="29-35" sheetId="10" state="visible" r:id="rId10"/>
    <sheet xmlns:r="http://schemas.openxmlformats.org/officeDocument/2006/relationships" name="29-41" sheetId="11" state="visible" r:id="rId11"/>
    <sheet xmlns:r="http://schemas.openxmlformats.org/officeDocument/2006/relationships" name="30-35" sheetId="12" state="visible" r:id="rId12"/>
    <sheet xmlns:r="http://schemas.openxmlformats.org/officeDocument/2006/relationships" name="29-30" sheetId="13" state="visible" r:id="rId13"/>
    <sheet xmlns:r="http://schemas.openxmlformats.org/officeDocument/2006/relationships" name="29-38" sheetId="14" state="visible" r:id="rId14"/>
    <sheet xmlns:r="http://schemas.openxmlformats.org/officeDocument/2006/relationships" name="g30-30" sheetId="15" state="visible" r:id="rId15"/>
    <sheet xmlns:r="http://schemas.openxmlformats.org/officeDocument/2006/relationships" name="30-41" sheetId="16" state="visible" r:id="rId16"/>
    <sheet xmlns:r="http://schemas.openxmlformats.org/officeDocument/2006/relationships" name="Aribtrar" sheetId="17" state="visible" r:id="rId17"/>
  </sheets>
  <definedNames/>
  <calcPr calcId="162913" fullCalcOnLoad="1"/>
  <pivotCaches>
    <pivotCache xmlns:r="http://schemas.openxmlformats.org/officeDocument/2006/relationships" cacheId="0" r:id="rId18"/>
    <pivotCache xmlns:r="http://schemas.openxmlformats.org/officeDocument/2006/relationships" cacheId="1" r:id="rId19"/>
    <pivotCache xmlns:r="http://schemas.openxmlformats.org/officeDocument/2006/relationships" cacheId="2" r:id="rId20"/>
    <pivotCache xmlns:r="http://schemas.openxmlformats.org/officeDocument/2006/relationships" cacheId="3" r:id="rId21"/>
    <pivotCache xmlns:r="http://schemas.openxmlformats.org/officeDocument/2006/relationships" cacheId="4" r:id="rId22"/>
    <pivotCache xmlns:r="http://schemas.openxmlformats.org/officeDocument/2006/relationships" cacheId="5" r:id="rId23"/>
    <pivotCache xmlns:r="http://schemas.openxmlformats.org/officeDocument/2006/relationships" cacheId="6" r:id="rId24"/>
  </pivotCaches>
</workbook>
</file>

<file path=xl/styles.xml><?xml version="1.0" encoding="utf-8"?>
<styleSheet xmlns="http://schemas.openxmlformats.org/spreadsheetml/2006/main">
  <numFmts count="4">
    <numFmt numFmtId="164" formatCode="0.000%"/>
    <numFmt numFmtId="165" formatCode="0.0000"/>
    <numFmt numFmtId="166" formatCode="0.000000"/>
    <numFmt numFmtId="167" formatCode="0.00000"/>
  </numFmts>
  <fonts count="6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color rgb="FF444444"/>
      <sz val="11"/>
    </font>
    <font>
      <name val="Calibri"/>
      <family val="2"/>
      <b val="1"/>
      <color theme="1"/>
      <sz val="14"/>
      <scheme val="minor"/>
    </font>
    <font>
      <name val="Calibri"/>
      <family val="2"/>
      <color theme="1"/>
      <sz val="14"/>
      <scheme val="minor"/>
    </font>
    <font>
      <name val="Arial"/>
      <family val="2"/>
      <color theme="1"/>
      <sz val="11"/>
    </font>
  </fonts>
  <fills count="9">
    <fill>
      <patternFill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pivotButton="0" quotePrefix="0" xfId="0"/>
    <xf numFmtId="0" fontId="2" fillId="2" borderId="1" applyAlignment="1" pivotButton="0" quotePrefix="0" xfId="0">
      <alignment vertical="center" wrapText="1"/>
    </xf>
    <xf numFmtId="2" fontId="2" fillId="2" borderId="1" applyAlignment="1" pivotButton="0" quotePrefix="0" xfId="0">
      <alignment horizontal="right" vertical="center" wrapText="1"/>
    </xf>
    <xf numFmtId="14" fontId="2" fillId="2" borderId="2" applyAlignment="1" pivotButton="0" quotePrefix="0" xfId="0">
      <alignment vertical="center" wrapText="1"/>
    </xf>
    <xf numFmtId="2" fontId="2" fillId="2" borderId="3" applyAlignment="1" pivotButton="0" quotePrefix="0" xfId="0">
      <alignment horizontal="right" vertical="center" wrapText="1"/>
    </xf>
    <xf numFmtId="0" fontId="0" fillId="0" borderId="4" pivotButton="0" quotePrefix="0" xfId="0"/>
    <xf numFmtId="2" fontId="0" fillId="0" borderId="5" pivotButton="0" quotePrefix="0" xfId="0"/>
    <xf numFmtId="2" fontId="1" fillId="0" borderId="5" pivotButton="0" quotePrefix="0" xfId="0"/>
    <xf numFmtId="2" fontId="1" fillId="0" borderId="6" pivotButton="0" quotePrefix="0" xfId="0"/>
    <xf numFmtId="2" fontId="0" fillId="0" borderId="4" pivotButton="0" quotePrefix="0" xfId="0"/>
    <xf numFmtId="0" fontId="0" fillId="0" borderId="5" pivotButton="0" quotePrefix="0" xfId="0"/>
    <xf numFmtId="14" fontId="2" fillId="2" borderId="7" applyAlignment="1" pivotButton="0" quotePrefix="0" xfId="0">
      <alignment vertical="center" wrapText="1"/>
    </xf>
    <xf numFmtId="0" fontId="2" fillId="2" borderId="8" applyAlignment="1" pivotButton="0" quotePrefix="0" xfId="0">
      <alignment vertical="center" wrapText="1"/>
    </xf>
    <xf numFmtId="2" fontId="2" fillId="2" borderId="8" applyAlignment="1" pivotButton="0" quotePrefix="0" xfId="0">
      <alignment horizontal="right" vertical="center" wrapText="1"/>
    </xf>
    <xf numFmtId="2" fontId="2" fillId="2" borderId="9" applyAlignment="1" pivotButton="0" quotePrefix="0" xfId="0">
      <alignment horizontal="right" vertical="center" wrapText="1"/>
    </xf>
    <xf numFmtId="0" fontId="3" fillId="0" borderId="10" pivotButton="0" quotePrefix="0" xfId="0"/>
    <xf numFmtId="2" fontId="0" fillId="0" borderId="11" pivotButton="0" quotePrefix="0" xfId="0"/>
    <xf numFmtId="0" fontId="1" fillId="0" borderId="11" pivotButton="0" quotePrefix="0" xfId="0"/>
    <xf numFmtId="0" fontId="1" fillId="0" borderId="12" pivotButton="0" quotePrefix="0" xfId="0"/>
    <xf numFmtId="0" fontId="0" fillId="0" borderId="11" pivotButton="0" quotePrefix="0" xfId="0"/>
    <xf numFmtId="14" fontId="3" fillId="0" borderId="10" pivotButton="0" quotePrefix="0" xfId="0"/>
    <xf numFmtId="2" fontId="0" fillId="0" borderId="0" pivotButton="0" quotePrefix="0" xfId="0"/>
    <xf numFmtId="14" fontId="2" fillId="2" borderId="0" applyAlignment="1" pivotButton="0" quotePrefix="0" xfId="0">
      <alignment vertical="center" wrapText="1"/>
    </xf>
    <xf numFmtId="2" fontId="2" fillId="2" borderId="0" applyAlignment="1" pivotButton="0" quotePrefix="0" xfId="0">
      <alignment horizontal="right" vertical="center" wrapText="1"/>
    </xf>
    <xf numFmtId="14" fontId="0" fillId="0" borderId="0" pivotButton="0" quotePrefix="0" xfId="0"/>
    <xf numFmtId="10" fontId="0" fillId="0" borderId="0" pivotButton="0" quotePrefix="0" xfId="0"/>
    <xf numFmtId="2" fontId="1" fillId="0" borderId="0" pivotButton="0" quotePrefix="0" xfId="0"/>
    <xf numFmtId="0" fontId="1" fillId="0" borderId="0" pivotButton="0" quotePrefix="0" xfId="0"/>
    <xf numFmtId="0" fontId="1" fillId="0" borderId="14" pivotButton="0" quotePrefix="0" xfId="0"/>
    <xf numFmtId="0" fontId="3" fillId="0" borderId="13" pivotButton="0" quotePrefix="0" xfId="0"/>
    <xf numFmtId="14" fontId="3" fillId="0" borderId="0" pivotButton="0" quotePrefix="0" xfId="0"/>
    <xf numFmtId="14" fontId="3" fillId="0" borderId="13" pivotButton="0" quotePrefix="0" xfId="0"/>
    <xf numFmtId="164" fontId="0" fillId="0" borderId="0" pivotButton="0" quotePrefix="0" xfId="0"/>
    <xf numFmtId="0" fontId="4" fillId="0" borderId="10" pivotButton="0" quotePrefix="0" xfId="0"/>
    <xf numFmtId="0" fontId="4" fillId="0" borderId="12" pivotButton="0" quotePrefix="0" xfId="0"/>
    <xf numFmtId="0" fontId="0" fillId="0" borderId="0" pivotButton="1" quotePrefix="0" xfId="0"/>
    <xf numFmtId="14" fontId="0" fillId="0" borderId="0" applyAlignment="1" pivotButton="0" quotePrefix="0" xfId="0">
      <alignment horizontal="left"/>
    </xf>
    <xf numFmtId="0" fontId="4" fillId="0" borderId="11" pivotButton="0" quotePrefix="0" xfId="0"/>
    <xf numFmtId="165" fontId="2" fillId="2" borderId="8" applyAlignment="1" pivotButton="0" quotePrefix="0" xfId="0">
      <alignment horizontal="right" vertical="center" wrapText="1"/>
    </xf>
    <xf numFmtId="165" fontId="2" fillId="2" borderId="1" applyAlignment="1" pivotButton="0" quotePrefix="0" xfId="0">
      <alignment horizontal="right" vertical="center" wrapText="1"/>
    </xf>
    <xf numFmtId="165" fontId="1" fillId="0" borderId="5" pivotButton="0" quotePrefix="0" xfId="0"/>
    <xf numFmtId="165" fontId="2" fillId="2" borderId="9" applyAlignment="1" pivotButton="0" quotePrefix="0" xfId="0">
      <alignment horizontal="right" vertical="center" wrapText="1"/>
    </xf>
    <xf numFmtId="165" fontId="2" fillId="2" borderId="3" applyAlignment="1" pivotButton="0" quotePrefix="0" xfId="0">
      <alignment horizontal="right" vertical="center" wrapText="1"/>
    </xf>
    <xf numFmtId="165" fontId="1" fillId="0" borderId="6" pivotButton="0" quotePrefix="0" xfId="0"/>
    <xf numFmtId="0" fontId="0" fillId="0" borderId="0" applyAlignment="1" pivotButton="0" quotePrefix="0" xfId="0">
      <alignment horizontal="left"/>
    </xf>
    <xf numFmtId="166" fontId="0" fillId="0" borderId="0" pivotButton="0" quotePrefix="0" xfId="0"/>
    <xf numFmtId="165" fontId="0" fillId="0" borderId="0" pivotButton="0" quotePrefix="0" xfId="0"/>
    <xf numFmtId="167" fontId="0" fillId="0" borderId="0" pivotButton="0" quotePrefix="0" xfId="0"/>
    <xf numFmtId="165" fontId="1" fillId="0" borderId="0" pivotButton="0" quotePrefix="0" xfId="0"/>
    <xf numFmtId="165" fontId="2" fillId="4" borderId="3" applyAlignment="1" pivotButton="0" quotePrefix="0" xfId="0">
      <alignment horizontal="right" vertical="center" wrapText="1"/>
    </xf>
    <xf numFmtId="2" fontId="1" fillId="0" borderId="14" pivotButton="0" quotePrefix="0" xfId="0"/>
    <xf numFmtId="2" fontId="2" fillId="4" borderId="3" applyAlignment="1" pivotButton="0" quotePrefix="0" xfId="0">
      <alignment horizontal="right" vertical="center" wrapText="1"/>
    </xf>
    <xf numFmtId="14" fontId="0" fillId="4" borderId="13" pivotButton="0" quotePrefix="0" xfId="0"/>
    <xf numFmtId="2" fontId="0" fillId="4" borderId="13" pivotButton="0" quotePrefix="0" xfId="0"/>
    <xf numFmtId="10" fontId="0" fillId="4" borderId="14" pivotButton="0" quotePrefix="0" xfId="0"/>
    <xf numFmtId="10" fontId="0" fillId="4" borderId="0" pivotButton="0" quotePrefix="0" xfId="0"/>
    <xf numFmtId="2" fontId="0" fillId="4" borderId="0" pivotButton="0" quotePrefix="0" xfId="0"/>
    <xf numFmtId="10" fontId="0" fillId="4" borderId="13" pivotButton="0" quotePrefix="0" xfId="0"/>
    <xf numFmtId="0" fontId="0" fillId="4" borderId="13" pivotButton="0" quotePrefix="0" xfId="0"/>
    <xf numFmtId="14" fontId="0" fillId="4" borderId="4" pivotButton="0" quotePrefix="0" xfId="0"/>
    <xf numFmtId="2" fontId="0" fillId="4" borderId="4" pivotButton="0" quotePrefix="0" xfId="0"/>
    <xf numFmtId="10" fontId="0" fillId="4" borderId="6" pivotButton="0" quotePrefix="0" xfId="0"/>
    <xf numFmtId="10" fontId="0" fillId="4" borderId="5" pivotButton="0" quotePrefix="0" xfId="0"/>
    <xf numFmtId="2" fontId="0" fillId="4" borderId="5" pivotButton="0" quotePrefix="0" xfId="0"/>
    <xf numFmtId="10" fontId="0" fillId="4" borderId="4" pivotButton="0" quotePrefix="0" xfId="0"/>
    <xf numFmtId="14" fontId="0" fillId="3" borderId="13" pivotButton="0" quotePrefix="0" xfId="0"/>
    <xf numFmtId="2" fontId="0" fillId="3" borderId="13" pivotButton="0" quotePrefix="0" xfId="0"/>
    <xf numFmtId="10" fontId="0" fillId="3" borderId="14" pivotButton="0" quotePrefix="0" xfId="0"/>
    <xf numFmtId="2" fontId="0" fillId="3" borderId="0" pivotButton="0" quotePrefix="0" xfId="0"/>
    <xf numFmtId="0" fontId="0" fillId="3" borderId="0" pivotButton="0" quotePrefix="0" xfId="0"/>
    <xf numFmtId="0" fontId="0" fillId="5" borderId="0" pivotButton="0" quotePrefix="0" xfId="0"/>
    <xf numFmtId="0" fontId="0" fillId="6" borderId="0" pivotButton="0" quotePrefix="0" xfId="0"/>
    <xf numFmtId="0" fontId="0" fillId="7" borderId="0" pivotButton="0" quotePrefix="0" xfId="0"/>
    <xf numFmtId="0" fontId="0" fillId="8" borderId="0" pivotButton="0" quotePrefix="0" xfId="0"/>
    <xf numFmtId="0" fontId="4" fillId="0" borderId="13" pivotButton="0" quotePrefix="0" xfId="0"/>
    <xf numFmtId="10" fontId="0" fillId="3" borderId="0" pivotButton="0" quotePrefix="0" xfId="0"/>
    <xf numFmtId="0" fontId="0" fillId="0" borderId="0" pivotButton="0" quotePrefix="0" xfId="0"/>
  </cellXfs>
  <cellStyles count="2">
    <cellStyle name="Normal" xfId="0" builtinId="0"/>
    <cellStyle name="Normal 2" xfId="1"/>
  </cellStyles>
  <dxfs count="7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pivotCacheDefinition" Target="/xl/pivotCache/pivotCacheDefinition1.xml" Id="rId18"/><Relationship Type="http://schemas.openxmlformats.org/officeDocument/2006/relationships/pivotCacheDefinition" Target="/xl/pivotCache/pivotCacheDefinition2.xml" Id="rId19"/><Relationship Type="http://schemas.openxmlformats.org/officeDocument/2006/relationships/pivotCacheDefinition" Target="/xl/pivotCache/pivotCacheDefinition3.xml" Id="rId20"/><Relationship Type="http://schemas.openxmlformats.org/officeDocument/2006/relationships/pivotCacheDefinition" Target="/xl/pivotCache/pivotCacheDefinition4.xml" Id="rId21"/><Relationship Type="http://schemas.openxmlformats.org/officeDocument/2006/relationships/pivotCacheDefinition" Target="/xl/pivotCache/pivotCacheDefinition5.xml" Id="rId22"/><Relationship Type="http://schemas.openxmlformats.org/officeDocument/2006/relationships/pivotCacheDefinition" Target="/xl/pivotCache/pivotCacheDefinition6.xml" Id="rId23"/><Relationship Type="http://schemas.openxmlformats.org/officeDocument/2006/relationships/pivotCacheDefinition" Target="/xl/pivotCache/pivotCacheDefinition7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harts/chart1.xml><?xml version="1.0" encoding="utf-8"?>
<chartSpace xmlns="http://schemas.openxmlformats.org/drawingml/2006/chart">
  <pivotSource>
    <name>[Bonos en dolares.xlsm]Hoja3!TablaDinámica6</name>
    <fmtId val="0"/>
  </pivotSource>
  <chart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>
            <a:noFill/>
            <a:prstDash val="solid"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13572864"/>
        <axId val="133268224"/>
      </lineChart>
      <catAx>
        <axId val="113572864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3268224"/>
        <crosses val="autoZero"/>
        <auto val="1"/>
        <lblAlgn val="ctr"/>
        <lblOffset val="100"/>
        <noMultiLvlLbl val="0"/>
      </catAx>
      <valAx>
        <axId val="133268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13572864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pivotSource>
    <name>[Bonos en dolares.xlsm]30-38!TablaDinámica2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'30-38'!$B$3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'30-38'!$A$4:$A$217</f>
              <strCache>
                <ptCount val="21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</strCache>
            </strRef>
          </cat>
          <val>
            <numRef>
              <f>'30-38'!$B$4:$B$217</f>
              <numCache>
                <formatCode>General</formatCode>
                <ptCount val="213"/>
                <pt idx="0">
                  <v>0.02672727646707934</v>
                </pt>
                <pt idx="1">
                  <v>0.02732779573744526</v>
                </pt>
                <pt idx="2">
                  <v>0.02812851383594334</v>
                </pt>
                <pt idx="3">
                  <v>0.02652679933494451</v>
                </pt>
                <pt idx="4">
                  <v>0.02852872412634638</v>
                </pt>
                <pt idx="5">
                  <v>0.02772763267502887</v>
                </pt>
                <pt idx="6">
                  <v>0.02742723938157765</v>
                </pt>
                <pt idx="7">
                  <v>0.03553517008271884</v>
                </pt>
                <pt idx="8">
                  <v>0.02602566915313737</v>
                </pt>
                <pt idx="9">
                  <v>0.02312272678968713</v>
                </pt>
                <pt idx="10">
                  <v>0.02472404667553374</v>
                </pt>
                <pt idx="11">
                  <v>0.02872784239519816</v>
                </pt>
                <pt idx="12">
                  <v>0.02202126711413083</v>
                </pt>
                <pt idx="13">
                  <v>0.01801733860324495</v>
                </pt>
                <pt idx="14">
                  <v>0.02152063622651856</v>
                </pt>
                <pt idx="15">
                  <v>0.02752611209949163</v>
                </pt>
                <pt idx="16">
                  <v>0.03052885604201239</v>
                </pt>
                <pt idx="17">
                  <v>0.0320301653954923</v>
                </pt>
                <pt idx="18">
                  <v>0.03263061914262017</v>
                </pt>
                <pt idx="19">
                  <v>0.03172966506356967</v>
                </pt>
                <pt idx="20">
                  <v>0.03182932221807072</v>
                </pt>
                <pt idx="21">
                  <v>0.03373095855099889</v>
                </pt>
                <pt idx="22">
                  <v>0.04013670033900857</v>
                </pt>
                <pt idx="23">
                  <v>0.043940027559352</v>
                </pt>
                <pt idx="24">
                  <v>0.04504056736032797</v>
                </pt>
                <pt idx="25">
                  <v>0.03583215076541285</v>
                </pt>
                <pt idx="26">
                  <v>0.03553175955220245</v>
                </pt>
                <pt idx="27">
                  <v>0.02362103242613284</v>
                </pt>
                <pt idx="28">
                  <v>0.02872547910646767</v>
                </pt>
                <pt idx="29">
                  <v>0.02231956784029832</v>
                </pt>
                <pt idx="30">
                  <v>0.02622290013539219</v>
                </pt>
                <pt idx="31">
                  <v>0.02702350674902138</v>
                </pt>
                <pt idx="32">
                  <v>0.0265229805276489</v>
                </pt>
                <pt idx="33">
                  <v>0.02071787981408613</v>
                </pt>
                <pt idx="34">
                  <v>0.02392039787352918</v>
                </pt>
                <pt idx="35">
                  <v>0.01531300556637144</v>
                </pt>
                <pt idx="36">
                  <v>0.01140965131463939</v>
                </pt>
                <pt idx="37">
                  <v>0.005904974738992486</v>
                </pt>
                <pt idx="38">
                  <v>0.006205206423197496</v>
                </pt>
                <pt idx="39">
                  <v>0.004503732545465766</v>
                </pt>
                <pt idx="40">
                  <v>-0.001000826024218637</v>
                </pt>
                <pt idx="41">
                  <v>0.007506169454346068</v>
                </pt>
                <pt idx="42">
                  <v>0.004703850069063376</v>
                </pt>
                <pt idx="43">
                  <v>0.002301876186754925</v>
                </pt>
                <pt idx="44">
                  <v>0.004603705036587691</v>
                </pt>
                <pt idx="45">
                  <v>0.005304250666630095</v>
                </pt>
                <pt idx="46">
                  <v>0.003402715180263749</v>
                </pt>
                <pt idx="47">
                  <v>0.004303419154945032</v>
                </pt>
                <pt idx="48">
                  <v>0.002602058477768343</v>
                </pt>
                <pt idx="49">
                  <v>0.008006224016615715</v>
                </pt>
                <pt idx="50">
                  <v>0.01200929486520397</v>
                </pt>
                <pt idx="51">
                  <v>0.0149114900179933</v>
                </pt>
                <pt idx="52">
                  <v>0.01511159245448562</v>
                </pt>
                <pt idx="53">
                  <v>0.01461105836951943</v>
                </pt>
                <pt idx="54">
                  <v>0.01531153608883401</v>
                </pt>
                <pt idx="55">
                  <v>0.006705028771578692</v>
                </pt>
                <pt idx="56">
                  <v>0.0145108334304378</v>
                </pt>
                <pt idx="57">
                  <v>0.01471093243951843</v>
                </pt>
                <pt idx="58">
                  <v>0.01991445844243073</v>
                </pt>
                <pt idx="59">
                  <v>0.02321677650631104</v>
                </pt>
                <pt idx="60">
                  <v>0.02531820830049009</v>
                </pt>
                <pt idx="61">
                  <v>0.02912064374402401</v>
                </pt>
                <pt idx="62">
                  <v>0.03032139111839177</v>
                </pt>
                <pt idx="63">
                  <v>0.0250175637005432</v>
                </pt>
                <pt idx="64">
                  <v>0.01941356290010832</v>
                </pt>
                <pt idx="65">
                  <v>0.01961363550687639</v>
                </pt>
                <pt idx="66">
                  <v>0.02131459904043864</v>
                </pt>
                <pt idx="67">
                  <v>0.02061404861532345</v>
                </pt>
                <pt idx="68">
                  <v>0.02041384226290427</v>
                </pt>
                <pt idx="69">
                  <v>0.01901256652513472</v>
                </pt>
                <pt idx="70">
                  <v>0.02131401469459371</v>
                </pt>
                <pt idx="71">
                  <v>0.02741793433375939</v>
                </pt>
                <pt idx="72">
                  <v>0.03322116142474318</v>
                </pt>
                <pt idx="73">
                  <v>0.03352123777050531</v>
                </pt>
                <pt idx="74">
                  <v>0.02721715053321266</v>
                </pt>
                <pt idx="75">
                  <v>0.02441530137037934</v>
                </pt>
                <pt idx="76">
                  <v>0.02501559191002611</v>
                </pt>
                <pt idx="77">
                  <v>0.02651625482744557</v>
                </pt>
                <pt idx="78">
                  <v>0.02691640794731032</v>
                </pt>
                <pt idx="79">
                  <v>0.02761674028435041</v>
                </pt>
                <pt idx="80">
                  <v>0.0306184549591535</v>
                </pt>
                <pt idx="81">
                  <v>0.02991793026642675</v>
                </pt>
                <pt idx="82">
                  <v>0.0300176816480941</v>
                </pt>
                <pt idx="83">
                  <v>0.0294172272118261</v>
                </pt>
                <pt idx="84">
                  <v>0.02381386423602783</v>
                </pt>
                <pt idx="85">
                  <v>0.02681551994133591</v>
                </pt>
                <pt idx="86">
                  <v>0.02491433427451401</v>
                </pt>
                <pt idx="87">
                  <v>0.02091181660870012</v>
                </pt>
                <pt idx="88">
                  <v>0.02201236310804694</v>
                </pt>
                <pt idx="89">
                  <v>0.01760983014490963</v>
                </pt>
                <pt idx="90">
                  <v>0.0152084375578232</v>
                </pt>
                <pt idx="91">
                  <v>0.01440794410616808</v>
                </pt>
                <pt idx="92">
                  <v>0.0134072546103714</v>
                </pt>
                <pt idx="93">
                  <v>0.01320710107831952</v>
                </pt>
                <pt idx="94">
                  <v>0.01230657474541202</v>
                </pt>
                <pt idx="95">
                  <v>0.0136072230122154</v>
                </pt>
                <pt idx="96">
                  <v>0.0162085483439896</v>
                </pt>
                <pt idx="97">
                  <v>0.01650853694890164</v>
                </pt>
                <pt idx="98">
                  <v>0.01720884015761526</v>
                </pt>
                <pt idx="99">
                  <v>0.01950995542245876</v>
                </pt>
                <pt idx="100">
                  <v>0.01510765730575769</v>
                </pt>
                <pt idx="101">
                  <v>0.01150579229954812</v>
                </pt>
                <pt idx="102">
                  <v>0.01450705480062225</v>
                </pt>
                <pt idx="103">
                  <v>0.0197095172668994</v>
                </pt>
                <pt idx="104">
                  <v>0.01390666758034675</v>
                </pt>
                <pt idx="105">
                  <v>0.01950915326711505</v>
                </pt>
                <pt idx="106">
                  <v>0.01650768851245782</v>
                </pt>
                <pt idx="107">
                  <v>0.01780823325852704</v>
                </pt>
                <pt idx="108">
                  <v>0.01870858544674608</v>
                </pt>
                <pt idx="109">
                  <v>0.01930879475925679</v>
                </pt>
                <pt idx="110">
                  <v>0.01730770548531885</v>
                </pt>
                <pt idx="111">
                  <v>0.01840813235984384</v>
                </pt>
                <pt idx="112">
                  <v>0.02671170924240768</v>
                </pt>
                <pt idx="113">
                  <v>0.0258112261154681</v>
                </pt>
                <pt idx="114">
                  <v>0.02250971309537675</v>
                </pt>
                <pt idx="115">
                  <v>0.02651116737529857</v>
                </pt>
                <pt idx="116">
                  <v>0.0254106167645386</v>
                </pt>
                <pt idx="117">
                  <v>0.01410584523038655</v>
                </pt>
                <pt idx="118">
                  <v>0.01460600246676713</v>
                </pt>
                <pt idx="119">
                  <v>0.01640668628653458</v>
                </pt>
                <pt idx="120">
                  <v>0.0131052061777967</v>
                </pt>
                <pt idx="121">
                  <v>0.01150453089401648</v>
                </pt>
                <pt idx="122">
                  <v>0.01750683486018517</v>
                </pt>
                <pt idx="123">
                  <v>0.01900735558623712</v>
                </pt>
                <pt idx="124">
                  <v>0.01470564051965134</v>
                </pt>
                <pt idx="125">
                  <v>0.01110414504044316</v>
                </pt>
                <pt idx="126">
                  <v>0.006802515999068115</v>
                </pt>
                <pt idx="127">
                  <v>0.005301924671284763</v>
                </pt>
                <pt idx="128">
                  <v>0.005802086366672898</v>
                </pt>
                <pt idx="129">
                  <v>0.00360125797367572</v>
                </pt>
                <pt idx="130">
                  <v>0.002901003429268301</v>
                </pt>
                <pt idx="131">
                  <v>0.001500513874614584</v>
                </pt>
                <pt idx="132">
                  <v>0.009503091759305249</v>
                </pt>
                <pt idx="133">
                  <v>0.009302994799695763</v>
                </pt>
                <pt idx="134">
                  <v>0.02150684978434914</v>
                </pt>
                <pt idx="135">
                  <v>0.01080340381216</v>
                </pt>
                <pt idx="136">
                  <v>0.01080336680266797</v>
                </pt>
                <pt idx="137">
                  <v>0.009502863876784728</v>
                </pt>
                <pt idx="138">
                  <v>0.009802920733232134</v>
                </pt>
                <pt idx="139">
                  <v>0.009202710387305912</v>
                </pt>
                <pt idx="140">
                  <v>0.007502183854889266</v>
                </pt>
                <pt idx="141">
                  <v>0.006001726524068551</v>
                </pt>
                <pt idx="142">
                  <v>0.008702414025808514</v>
                </pt>
                <pt idx="143">
                  <v>0.006101671690874166</v>
                </pt>
                <pt idx="144">
                  <v>0.005501488416386646</v>
                </pt>
                <pt idx="145">
                  <v>0.001700454230924631</v>
                </pt>
                <pt idx="146">
                  <v>0.003500923188649085</v>
                </pt>
                <pt idx="147">
                  <v>0.01120283907565617</v>
                </pt>
                <pt idx="148">
                  <v>0.013503375843961</v>
                </pt>
                <pt idx="149">
                  <v>0.01050258967964707</v>
                </pt>
                <pt idx="150">
                  <v>0.01330323469062683</v>
                </pt>
                <pt idx="151">
                  <v>0.01100263761860715</v>
                </pt>
                <pt idx="152">
                  <v>0.01530351142214137</v>
                </pt>
                <pt idx="153">
                  <v>0.01470332335390878</v>
                </pt>
                <pt idx="154">
                  <v>0.01170260503194209</v>
                </pt>
                <pt idx="155">
                  <v>0.01250274032664694</v>
                </pt>
                <pt idx="156">
                  <v>0.008501834299866007</v>
                </pt>
                <pt idx="157">
                  <v>0.008601767486469791</v>
                </pt>
                <pt idx="158">
                  <v>0.006701354040713703</v>
                </pt>
                <pt idx="159">
                  <v>0.007101410554151144</v>
                </pt>
                <pt idx="160">
                  <v>0.006901347180785222</v>
                </pt>
                <pt idx="161">
                  <v>0.005901131723892283</v>
                </pt>
                <pt idx="162">
                  <v>0.00500090769900019</v>
                </pt>
                <pt idx="163">
                  <v>0.002000356227821409</v>
                </pt>
                <pt idx="164">
                  <v>-0.0008001397504358576</v>
                </pt>
                <pt idx="165">
                  <v>-0.004700804932351421</v>
                </pt>
                <pt idx="166">
                  <v>-0.006701124503769473</v>
                </pt>
                <pt idx="167">
                  <v>-0.01200180849169052</v>
                </pt>
                <pt idx="168">
                  <v>-0.009901458091431281</v>
                </pt>
                <pt idx="169">
                  <v>-0.009701395406188584</v>
                </pt>
                <pt idx="170">
                  <v>-0.009501269005106894</v>
                </pt>
                <pt idx="171">
                  <v>-0.01200156184708961</v>
                </pt>
                <pt idx="172">
                  <v>-0.01300164746902865</v>
                </pt>
                <pt idx="173">
                  <v>-0.00910112205614394</v>
                </pt>
                <pt idx="174">
                  <v>-0.01160139057763765</v>
                </pt>
                <pt idx="175">
                  <v>-0.008000876808417323</v>
                </pt>
                <pt idx="176">
                  <v>-0.005300562730974789</v>
                </pt>
                <pt idx="177">
                  <v>-0.005000513751412805</v>
                </pt>
                <pt idx="178">
                  <v>-0.003600357569758683</v>
                </pt>
                <pt idx="179">
                  <v>-0.003600345238584546</v>
                </pt>
                <pt idx="180">
                  <v>-0.004000342495076692</v>
                </pt>
                <pt idx="181">
                  <v>-0.001900156177220003</v>
                </pt>
                <pt idx="182">
                  <v>-0.005800456885302618</v>
                </pt>
                <pt idx="183">
                  <v>-0.00450033906664199</v>
                </pt>
                <pt idx="184">
                  <v>-0.006000431537884598</v>
                </pt>
                <pt idx="185">
                  <v>-0.006700390091203989</v>
                </pt>
                <pt idx="186">
                  <v>-0.008100443859937523</v>
                </pt>
                <pt idx="187">
                  <v>-0.01110057023477234</v>
                </pt>
                <pt idx="188">
                  <v>-0.01210058016480242</v>
                </pt>
                <pt idx="189">
                  <v>-0.0115004332354986</v>
                </pt>
                <pt idx="190">
                  <v>-0.01200041097297855</v>
                </pt>
                <pt idx="191">
                  <v>-0.01080033288697252</v>
                </pt>
                <pt idx="192">
                  <v>-0.01450039727115815</v>
                </pt>
                <pt idx="193">
                  <v>-0.01670040035206316</v>
                </pt>
                <pt idx="194">
                  <v>-0.01860025479801092</v>
                </pt>
                <pt idx="195">
                  <v>-0.01630016746747392</v>
                </pt>
                <pt idx="196">
                  <v>-0.01940013287762249</v>
                </pt>
                <pt idx="197">
                  <v>-0.01800006164404672</v>
                </pt>
                <pt idx="198">
                  <v>-0.01669982842642026</v>
                </pt>
                <pt idx="199">
                  <v>-0.01749976027725647</v>
                </pt>
                <pt idx="200">
                  <v>-0.01729970377219564</v>
                </pt>
                <pt idx="201">
                  <v>-0.01709964863735675</v>
                </pt>
                <pt idx="202">
                  <v>-0.01629960925594248</v>
                </pt>
                <pt idx="203">
                  <v>-0.01809938015821372</v>
                </pt>
                <pt idx="204">
                  <v>-0.02009924283674253</v>
                </pt>
                <pt idx="205">
                  <v>-0.01829924797611054</v>
                </pt>
                <pt idx="206">
                  <v>-0.02249899833226604</v>
                </pt>
                <pt idx="207">
                  <v>-0.02309889251885189</v>
                </pt>
                <pt idx="208">
                  <v>-0.02229870178790966</v>
                </pt>
                <pt idx="209">
                  <v>-0.02279859460718175</v>
                </pt>
                <pt idx="210">
                  <v>-0.02439841243206781</v>
                </pt>
                <pt idx="211">
                  <v>-0.02539826039312382</v>
                </pt>
                <pt idx="212">
                  <v>-0.02609812308018944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928082240"/>
        <axId val="1928093888"/>
      </lineChart>
      <catAx>
        <axId val="192808224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28093888"/>
        <crosses val="autoZero"/>
        <auto val="1"/>
        <lblAlgn val="ctr"/>
        <lblOffset val="100"/>
        <noMultiLvlLbl val="0"/>
      </catAx>
      <valAx>
        <axId val="1928093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2808224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pivotSource>
    <name>[Bonos en dolares.xlsm]Grafico Paridades bkp!TablaDinámica3</name>
    <fmtId val="0"/>
  </pivotSource>
  <chart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spPr>
          <a:ln xmlns:a="http://schemas.openxmlformats.org/drawingml/2006/main" w="28575" cap="rnd">
            <a:solidFill>
              <a:schemeClr val="accent2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spPr>
          <a:ln xmlns:a="http://schemas.openxmlformats.org/drawingml/2006/main" w="28575" cap="rnd">
            <a:solidFill>
              <a:schemeClr val="accent3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spPr>
          <a:ln xmlns:a="http://schemas.openxmlformats.org/drawingml/2006/main" w="28575" cap="rnd">
            <a:solidFill>
              <a:schemeClr val="accent4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spPr>
          <a:ln xmlns:a="http://schemas.openxmlformats.org/drawingml/2006/main" w="28575" cap="rnd">
            <a:solidFill>
              <a:schemeClr val="accent5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spPr>
          <a:ln xmlns:a="http://schemas.openxmlformats.org/drawingml/2006/main" w="28575" cap="rnd">
            <a:solidFill>
              <a:schemeClr val="accent6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spPr>
          <a:ln xmlns:a="http://schemas.openxmlformats.org/drawingml/2006/main" w="28575" cap="rnd">
            <a:solidFill>
              <a:schemeClr val="accent1">
                <a:lumMod val="60000"/>
              </a:schemeClr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'Grafico Paridades bkp'!$B$1:$B$2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bkp'!$A$3:$A$270</f>
              <strCache>
                <ptCount val="267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</strCache>
            </strRef>
          </cat>
          <val>
            <numRef>
              <f>'Grafico Paridades bkp'!$B$3:$B$270</f>
              <numCache>
                <formatCode>0.00%</formatCode>
                <ptCount val="267"/>
                <pt idx="0">
                  <v>0.5222639633169438</v>
                </pt>
                <pt idx="1">
                  <v>0.5182167223710742</v>
                </pt>
                <pt idx="2">
                  <v>0.4924939233233897</v>
                </pt>
                <pt idx="3">
                  <v>0.4890526170418451</v>
                </pt>
                <pt idx="4">
                  <v>0.4874261172181407</v>
                </pt>
                <pt idx="5">
                  <v>0.4778093844071916</v>
                </pt>
                <pt idx="6">
                  <v>0.4687241093620547</v>
                </pt>
                <pt idx="7">
                  <v>0.4797989561183066</v>
                </pt>
                <pt idx="8">
                  <v>0.4794833204462609</v>
                </pt>
                <pt idx="9">
                  <v>0.4680805235688841</v>
                </pt>
                <pt idx="10">
                  <v>0.4665299867461895</v>
                </pt>
                <pt idx="11">
                  <v>0.4635944445978408</v>
                </pt>
                <pt idx="12">
                  <v>0.4621707438290353</v>
                </pt>
                <pt idx="13">
                  <v>0.4660882409784919</v>
                </pt>
                <pt idx="14">
                  <v>0.4580135284373275</v>
                </pt>
                <pt idx="15">
                  <v>0.4573710073710074</v>
                </pt>
                <pt idx="16">
                  <v>0.4564515238515901</v>
                </pt>
                <pt idx="17">
                  <v>0.4578495514147688</v>
                </pt>
                <pt idx="18">
                  <v>0.456627836360625</v>
                </pt>
                <pt idx="19">
                  <v>0.4597385927623044</v>
                </pt>
                <pt idx="20">
                  <v>0.4578744721371202</v>
                </pt>
                <pt idx="21">
                  <v>0.4523211525723118</v>
                </pt>
                <pt idx="22">
                  <v>0.448883614384677</v>
                </pt>
                <pt idx="23">
                  <v>0.4462521388750897</v>
                </pt>
                <pt idx="24">
                  <v>0.4382578579904517</v>
                </pt>
                <pt idx="25">
                  <v>0.4200149014846294</v>
                </pt>
                <pt idx="26">
                  <v>0.4147658599850989</v>
                </pt>
                <pt idx="27">
                  <v>0.4240204194260486</v>
                </pt>
                <pt idx="28">
                  <v>0.4397202063960707</v>
                </pt>
                <pt idx="29">
                  <v>0.4084648493543759</v>
                </pt>
                <pt idx="30">
                  <v>0.4330252448613602</v>
                </pt>
                <pt idx="31">
                  <v>0.4450973900568339</v>
                </pt>
                <pt idx="32">
                  <v>0.4576723590917869</v>
                </pt>
                <pt idx="33">
                  <v>0.4521214963584197</v>
                </pt>
                <pt idx="34">
                  <v>0.4401023420043585</v>
                </pt>
                <pt idx="35">
                  <v>0.4510647688403398</v>
                </pt>
                <pt idx="36">
                  <v>0.4520591399332469</v>
                </pt>
                <pt idx="37">
                  <v>0.4580873834611353</v>
                </pt>
                <pt idx="38">
                  <v>0.4571686663908426</v>
                </pt>
                <pt idx="39">
                  <v>0.4600501958188538</v>
                </pt>
                <pt idx="40">
                  <v>0.4545009514879064</v>
                </pt>
                <pt idx="41">
                  <v>0.4509652509652509</v>
                </pt>
                <pt idx="42">
                  <v>0.4429000854912992</v>
                </pt>
                <pt idx="43">
                  <v>0.4529535050466053</v>
                </pt>
                <pt idx="44">
                  <v>0.4529160347442437</v>
                </pt>
                <pt idx="45">
                  <v>0.4433422489383996</v>
                </pt>
                <pt idx="46">
                  <v>0.4377946893870461</v>
                </pt>
                <pt idx="47">
                  <v>0.4257058564023381</v>
                </pt>
                <pt idx="48">
                  <v>0.4246877498690342</v>
                </pt>
                <pt idx="49">
                  <v>0.4291690789292311</v>
                </pt>
                <pt idx="50">
                  <v>0.4366033522633291</v>
                </pt>
                <pt idx="51">
                  <v>0.4346795313576844</v>
                </pt>
                <pt idx="52">
                  <v>0.4323533465652222</v>
                </pt>
                <pt idx="53">
                  <v>0.4245706882769646</v>
                </pt>
                <pt idx="54">
                  <v>0.421138368246968</v>
                </pt>
                <pt idx="55">
                  <v>0.4201207243460764</v>
                </pt>
                <pt idx="56">
                  <v>0.4205115484262169</v>
                </pt>
                <pt idx="57">
                  <v>0.4200975663533886</v>
                </pt>
                <pt idx="58">
                  <v>0.4194361772486773</v>
                </pt>
                <pt idx="59">
                  <v>0.4236490396538896</v>
                </pt>
                <pt idx="60">
                  <v>0.4216257922292643</v>
                </pt>
                <pt idx="61">
                  <v>0.4234012068442951</v>
                </pt>
                <pt idx="62">
                  <v>0.4198696754284455</v>
                </pt>
                <pt idx="63">
                  <v>0.4178468108554897</v>
                </pt>
                <pt idx="64">
                  <v>0.4180364227463081</v>
                </pt>
                <pt idx="65">
                  <v>0.4198349725872662</v>
                </pt>
                <pt idx="66">
                  <v>0.4244256198347108</v>
                </pt>
                <pt idx="67">
                  <v>0.425318861739346</v>
                </pt>
                <pt idx="68">
                  <v>0.4250055093383285</v>
                </pt>
                <pt idx="69">
                  <v>0.4246453851874294</v>
                </pt>
                <pt idx="70">
                  <v>0.4257395064448606</v>
                </pt>
                <pt idx="71">
                  <v>0.4257277809909389</v>
                </pt>
                <pt idx="72">
                  <v>0.4157184556920196</v>
                </pt>
                <pt idx="73">
                  <v>0.4146014043783561</v>
                </pt>
                <pt idx="74">
                  <v>0.4171026544773653</v>
                </pt>
                <pt idx="75">
                  <v>0.41437756422612</v>
                </pt>
                <pt idx="76">
                  <v>0.4105471116250895</v>
                </pt>
                <pt idx="77">
                  <v>0.4097092591063022</v>
                </pt>
                <pt idx="78">
                  <v>0.4115068002863279</v>
                </pt>
                <pt idx="79">
                  <v>0.4073754921124356</v>
                </pt>
                <pt idx="80">
                  <v>0.4042492566897918</v>
                </pt>
                <pt idx="81">
                  <v>0.4027309015829318</v>
                </pt>
                <pt idx="82">
                  <v>0.4028985906188065</v>
                </pt>
                <pt idx="83">
                  <v>0.4038922073274794</v>
                </pt>
                <pt idx="84">
                  <v>0.4015703275529865</v>
                </pt>
                <pt idx="85">
                  <v>0.400856018276403</v>
                </pt>
                <pt idx="86">
                  <v>0.4018496091599691</v>
                </pt>
                <pt idx="87">
                  <v>0.4007114352552635</v>
                </pt>
                <pt idx="88">
                  <v>0.4002986019374725</v>
                </pt>
                <pt idx="89">
                  <v>0.4001871370779096</v>
                </pt>
                <pt idx="90">
                  <v>0.396258737409874</v>
                </pt>
                <pt idx="91">
                  <v>0.3972522634084592</v>
                </pt>
                <pt idx="92">
                  <v>0.3995294700346707</v>
                </pt>
                <pt idx="93">
                  <v>0.4002215007016482</v>
                </pt>
                <pt idx="94">
                  <v>0.3976997578692494</v>
                </pt>
                <pt idx="95">
                  <v>0.3964836978951712</v>
                </pt>
                <pt idx="96">
                  <v>0.3964727893028118</v>
                </pt>
                <pt idx="97">
                  <v>0.3971429750474565</v>
                </pt>
                <pt idx="98">
                  <v>0.3963287482806052</v>
                </pt>
                <pt idx="99">
                  <v>0.3957153860966686</v>
                </pt>
                <pt idx="100">
                  <v>0.3925918794014084</v>
                </pt>
                <pt idx="101">
                  <v>0.3915770362831128</v>
                </pt>
                <pt idx="102">
                  <v>0.3884110787172012</v>
                </pt>
                <pt idx="103">
                  <v>0.3910104788360516</v>
                </pt>
                <pt idx="104">
                  <v>0.3869843234323432</v>
                </pt>
                <pt idx="105">
                  <v>0.3839410939691444</v>
                </pt>
                <pt idx="106">
                  <v>0.3783095919040809</v>
                </pt>
                <pt idx="107">
                  <v>0.3804069847380723</v>
                </pt>
                <pt idx="108">
                  <v>0.3805972611780234</v>
                </pt>
                <pt idx="109">
                  <v>0.3818915500316221</v>
                </pt>
                <pt idx="110">
                  <v>0.3832650536156172</v>
                </pt>
                <pt idx="111">
                  <v>0.3782367820516345</v>
                </pt>
                <pt idx="112">
                  <v>0.3763196964698119</v>
                </pt>
                <pt idx="113">
                  <v>0.3793198251450251</v>
                </pt>
                <pt idx="114">
                  <v>0.3763993511849123</v>
                </pt>
                <pt idx="115">
                  <v>0.3701473458504</v>
                </pt>
                <pt idx="116">
                  <v>0.3637157072956183</v>
                </pt>
                <pt idx="117">
                  <v>0.3511641331537426</v>
                </pt>
                <pt idx="118">
                  <v>0.3506528312259484</v>
                </pt>
                <pt idx="119">
                  <v>0.3562615101289134</v>
                </pt>
                <pt idx="120">
                  <v>0.3659630606860158</v>
                </pt>
                <pt idx="121">
                  <v>0.3676583757042737</v>
                </pt>
                <pt idx="122">
                  <v>0.3695542241521464</v>
                </pt>
                <pt idx="123">
                  <v>0.368340341330695</v>
                </pt>
                <pt idx="124">
                  <v>0.3711388369792239</v>
                </pt>
                <pt idx="125">
                  <v>0.3766247149020362</v>
                </pt>
                <pt idx="126">
                  <v>0.3736054627390635</v>
                </pt>
                <pt idx="127">
                  <v>0.3650601747540803</v>
                </pt>
                <pt idx="128">
                  <v>0.3660530292622613</v>
                </pt>
                <pt idx="129">
                  <v>0.3628138908731249</v>
                </pt>
                <pt idx="130">
                  <v>0.3589933789389818</v>
                </pt>
                <pt idx="131">
                  <v>0.360989010989011</v>
                </pt>
                <pt idx="132">
                  <v>0.3625436066474385</v>
                </pt>
                <pt idx="133">
                  <v>0.3599269351205845</v>
                </pt>
                <pt idx="134">
                  <v>0.3588142390199687</v>
                </pt>
                <pt idx="135">
                  <v>0.3597066578773896</v>
                </pt>
                <pt idx="136">
                  <v>0.3570902798758548</v>
                </pt>
                <pt idx="137">
                  <v>0.3633760848072064</v>
                </pt>
                <pt idx="138">
                  <v>0.364869689396644</v>
                </pt>
                <pt idx="139">
                  <v>0.3645589608392376</v>
                </pt>
                <pt idx="140">
                  <v>0.3618426472607442</v>
                </pt>
                <pt idx="141">
                  <v>0.3628350175746925</v>
                </pt>
                <pt idx="142">
                  <v>0.362805129190807</v>
                </pt>
                <pt idx="143">
                  <v>0.3622940691927512</v>
                </pt>
                <pt idx="144">
                  <v>0.3647895444935614</v>
                </pt>
                <pt idx="145">
                  <v>0.3667838119817693</v>
                </pt>
                <pt idx="146">
                  <v>0.3662726848419954</v>
                </pt>
                <pt idx="147">
                  <v>0.3691484104760336</v>
                </pt>
                <pt idx="148">
                  <v>0.3705410821643286</v>
                </pt>
                <pt idx="149">
                  <v>0.3732362468430878</v>
                </pt>
                <pt idx="150">
                  <v>0.3687172307776771</v>
                </pt>
                <pt idx="151">
                  <v>0.3692080702717541</v>
                </pt>
                <pt idx="152">
                  <v>0.368376197403453</v>
                </pt>
                <pt idx="153">
                  <v>0.3681657243234341</v>
                </pt>
                <pt idx="154">
                  <v>0.3666529435981886</v>
                </pt>
                <pt idx="155">
                  <v>0.3660418267647382</v>
                </pt>
                <pt idx="156">
                  <v>0.3636276312539451</v>
                </pt>
                <pt idx="157">
                  <v>0.3645993413830955</v>
                </pt>
                <pt idx="158">
                  <v>0.3604826980598776</v>
                </pt>
                <pt idx="159">
                  <v>0.3636778991273805</v>
                </pt>
                <pt idx="160">
                  <v>0.3650701094860467</v>
                </pt>
                <pt idx="161">
                  <v>0.3747749972560641</v>
                </pt>
                <pt idx="162">
                  <v>0.381053310286169</v>
                </pt>
                <pt idx="163">
                  <v>0.3805421422300264</v>
                </pt>
                <pt idx="164">
                  <v>0.3750240061455733</v>
                </pt>
                <pt idx="165">
                  <v>0.3734115226337448</v>
                </pt>
                <pt idx="166">
                  <v>0.36979643905517</v>
                </pt>
                <pt idx="167">
                  <v>0.3781558591178407</v>
                </pt>
                <pt idx="168">
                  <v>0.3814493787201361</v>
                </pt>
                <pt idx="169">
                  <v>0.3768336167644961</v>
                </pt>
                <pt idx="170">
                  <v>0.3764021831546036</v>
                </pt>
                <pt idx="171">
                  <v>0.3788944654709012</v>
                </pt>
                <pt idx="172">
                  <v>0.3838891479033541</v>
                </pt>
                <pt idx="173">
                  <v>0.3823771390960948</v>
                </pt>
                <pt idx="174">
                  <v>0.3808652132181544</v>
                </pt>
                <pt idx="175">
                  <v>0.3820349347373039</v>
                </pt>
                <pt idx="176">
                  <v>0.3878293893443747</v>
                </pt>
                <pt idx="177">
                  <v>0.3933232794077324</v>
                </pt>
                <pt idx="178">
                  <v>0.3953140851635546</v>
                </pt>
                <pt idx="179">
                  <v>0.399306317174819</v>
                </pt>
                <pt idx="180">
                  <v>0.3987731322823852</v>
                </pt>
                <pt idx="181">
                  <v>0.3972612128522864</v>
                </pt>
                <pt idx="182">
                  <v>0.3951489979987389</v>
                </pt>
                <pt idx="183">
                  <v>0.3934371401940896</v>
                </pt>
                <pt idx="184">
                  <v>0.3923257216480715</v>
                </pt>
                <pt idx="185">
                  <v>0.3861798645944687</v>
                </pt>
                <pt idx="186">
                  <v>0.3856690604100427</v>
                </pt>
                <pt idx="187">
                  <v>0.3817568863916678</v>
                </pt>
                <pt idx="188">
                  <v>0.3746436989530231</v>
                </pt>
                <pt idx="189">
                  <v>0.3725122639699636</v>
                </pt>
                <pt idx="190">
                  <v>0.3673006303096739</v>
                </pt>
                <pt idx="191">
                  <v>0.3636896769066345</v>
                </pt>
                <pt idx="192">
                  <v>0.3625794694727612</v>
                </pt>
                <pt idx="193">
                  <v>0.3650700134272326</v>
                </pt>
                <pt idx="194">
                  <v>0.3640398947829899</v>
                </pt>
                <pt idx="195">
                  <v>0.3630298380688823</v>
                </pt>
                <pt idx="196">
                  <v>0.3560195079182421</v>
                </pt>
                <pt idx="197">
                  <v>0.3554097372530754</v>
                </pt>
                <pt idx="198">
                  <v>0.357970577760732</v>
                </pt>
                <pt idx="199">
                  <v>0.3604604974797282</v>
                </pt>
                <pt idx="200">
                  <v>0.3639501438159156</v>
                </pt>
                <pt idx="201">
                  <v>0.3636402235249</v>
                </pt>
                <pt idx="202">
                  <v>0.3639302051661325</v>
                </pt>
                <pt idx="203">
                  <v>0.3658997534921939</v>
                </pt>
                <pt idx="204">
                  <v>0.3698885267453644</v>
                </pt>
                <pt idx="205">
                  <v>0.3718777388255916</v>
                </pt>
                <pt idx="206">
                  <v>0.3718675540218553</v>
                </pt>
                <pt idx="207">
                  <v>0.3698581366051378</v>
                </pt>
                <pt idx="208">
                  <v>0.3704274721362653</v>
                </pt>
                <pt idx="209">
                  <v>0.3703173777315296</v>
                </pt>
                <pt idx="210">
                  <v>0.3696076015224951</v>
                </pt>
                <pt idx="211">
                  <v>0.3683981380065717</v>
                </pt>
                <pt idx="212">
                  <v>0.3677883957175324</v>
                </pt>
                <pt idx="213">
                  <v>0.3672685704898283</v>
                </pt>
                <pt idx="214">
                  <v>0.366259172051254</v>
                </pt>
                <pt idx="215">
                  <v>0.364050650239562</v>
                </pt>
                <pt idx="216">
                  <v>0.3627416087170782</v>
                </pt>
                <pt idx="217">
                  <v>0.3622320475264872</v>
                </pt>
                <pt idx="218">
                  <v>0.360893487722756</v>
                </pt>
                <pt idx="219">
                  <v>0.3646802803022008</v>
                </pt>
                <pt idx="220">
                  <v>0.3661689431472915</v>
                </pt>
                <pt idx="221">
                  <v>0.3698554770898342</v>
                </pt>
                <pt idx="222">
                  <v>0.3611536882441495</v>
                </pt>
                <pt idx="223">
                  <v>0.3605147924135855</v>
                </pt>
                <pt idx="224">
                  <v>0.3596059113300493</v>
                </pt>
                <pt idx="225">
                  <v>0.3610943871267891</v>
                </pt>
                <pt idx="226">
                  <v>0.3616838158830935</v>
                </pt>
                <pt idx="227">
                  <v>0.3640511697906691</v>
                </pt>
                <pt idx="228">
                  <v>0.3665380616209709</v>
                </pt>
                <pt idx="229">
                  <v>0.3665280323966399</v>
                </pt>
                <pt idx="230">
                  <v>0.365319579730765</v>
                </pt>
                <pt idx="231">
                  <v>0.3665079755944075</v>
                </pt>
                <pt idx="232">
                  <v>0.37206992777413</v>
                </pt>
                <pt idx="233">
                  <v>0.3751552540147183</v>
                </pt>
                <pt idx="234">
                  <v>0.3788395250861739</v>
                </pt>
                <pt idx="235">
                  <v>0.3834222404595815</v>
                </pt>
                <pt idx="236">
                  <v>0.3844102199365357</v>
                </pt>
                <pt idx="237">
                  <v>0.3853770617358243</v>
                </pt>
                <pt idx="238">
                  <v>0.3893599562363239</v>
                </pt>
                <pt idx="239">
                  <v>0.3873526435272558</v>
                </pt>
                <pt idx="240">
                  <v>0.3863437448717248</v>
                </pt>
                <pt idx="241">
                  <v>0.3883297322429778</v>
                </pt>
                <pt idx="242">
                  <v>0.395285237652464</v>
                </pt>
                <pt idx="243">
                  <v>0.3927790083955479</v>
                </pt>
                <pt idx="244">
                  <v>0.3972598993655655</v>
                </pt>
                <pt idx="245">
                  <v>0.4012414886926085</v>
                </pt>
                <pt idx="246">
                  <v>0.4002324309543342</v>
                </pt>
                <pt idx="247">
                  <v>0.3992015968063872</v>
                </pt>
                <pt idx="248">
                  <v>0.3971947284956526</v>
                </pt>
                <pt idx="249">
                  <v>0.395187969924812</v>
                </pt>
                <pt idx="250">
                  <v>0.3921833989501312</v>
                </pt>
                <pt idx="251">
                  <v>0.3847882549142904</v>
                </pt>
                <pt idx="252">
                  <v>0.3836591033351558</v>
                </pt>
                <pt idx="253">
                  <v>0.3836486154014379</v>
                </pt>
                <pt idx="254">
                  <v>0.3881280411131157</v>
                </pt>
                <pt idx="255">
                  <v>0.3891151627805265</v>
                </pt>
                <pt idx="256">
                  <v>0.3811228952547562</v>
                </pt>
                <pt idx="257">
                  <v>0.3805928335201028</v>
                </pt>
                <pt idx="258">
                  <v>0.3840740133377064</v>
                </pt>
                <pt idx="259">
                  <v>0.379075678482604</v>
                </pt>
                <pt idx="260">
                  <v>0.3735788466794207</v>
                </pt>
                <pt idx="261">
                  <v>0.3755226123787402</v>
                </pt>
                <pt idx="262">
                  <v>0.3690294021204503</v>
                </pt>
                <pt idx="263">
                  <v>0.3730087165614668</v>
                </pt>
                <pt idx="264">
                  <v>0.3739958467675829</v>
                </pt>
                <pt idx="265">
                  <v>0.3691784377476026</v>
                </pt>
              </numCache>
            </numRef>
          </val>
          <smooth val="0"/>
        </ser>
        <ser>
          <idx val="1"/>
          <order val="1"/>
          <tx>
            <strRef>
              <f>'Grafico Paridades bkp'!$C$1:$C$2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bkp'!$A$3:$A$270</f>
              <strCache>
                <ptCount val="267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</strCache>
            </strRef>
          </cat>
          <val>
            <numRef>
              <f>'Grafico Paridades bkp'!$C$3:$C$270</f>
              <numCache>
                <formatCode>0.00%</formatCode>
                <ptCount val="267"/>
                <pt idx="0">
                  <v>0.5419244793105353</v>
                </pt>
                <pt idx="1">
                  <v>0.5419095102615805</v>
                </pt>
                <pt idx="2">
                  <v>0.5141697050049718</v>
                </pt>
                <pt idx="3">
                  <v>0.4840118768125949</v>
                </pt>
                <pt idx="4">
                  <v>0.4884342374192123</v>
                </pt>
                <pt idx="5">
                  <v>0.4737772377033334</v>
                </pt>
                <pt idx="6">
                  <v>0.4737641535487435</v>
                </pt>
                <pt idx="7">
                  <v>0.4747590511170639</v>
                </pt>
                <pt idx="8">
                  <v>0.4818016127250635</v>
                </pt>
                <pt idx="9">
                  <v>0.4838041587275288</v>
                </pt>
                <pt idx="10">
                  <v>0.48678760768721</v>
                </pt>
                <pt idx="11">
                  <v>0.4787116547477704</v>
                </pt>
                <pt idx="12">
                  <v>0.4827295819758131</v>
                </pt>
                <pt idx="13">
                  <v>0.486948839007151</v>
                </pt>
                <pt idx="14">
                  <v>0.4768580894533407</v>
                </pt>
                <pt idx="15">
                  <v>0.4835698313226403</v>
                </pt>
                <pt idx="16">
                  <v>0.4796267667844523</v>
                </pt>
                <pt idx="17">
                  <v>0.4806211180124224</v>
                </pt>
                <pt idx="18">
                  <v>0.4911872688124552</v>
                </pt>
                <pt idx="19">
                  <v>0.4896624064923952</v>
                </pt>
                <pt idx="20">
                  <v>0.4875934972813337</v>
                </pt>
                <pt idx="21">
                  <v>0.4875800397438728</v>
                </pt>
                <pt idx="22">
                  <v>0.4680236248723539</v>
                </pt>
                <pt idx="23">
                  <v>0.4734503504995308</v>
                </pt>
                <pt idx="24">
                  <v>0.4542732566161658</v>
                </pt>
                <pt idx="25">
                  <v>0.4482173409128539</v>
                </pt>
                <pt idx="26">
                  <v>0.4461905681724109</v>
                </pt>
                <pt idx="27">
                  <v>0.4834437086092715</v>
                </pt>
                <pt idx="28">
                  <v>0.4935018349383295</v>
                </pt>
                <pt idx="29">
                  <v>0.4733197218850017</v>
                </pt>
                <pt idx="30">
                  <v>0.4531659539246793</v>
                </pt>
                <pt idx="31">
                  <v>0.4833636815096838</v>
                </pt>
                <pt idx="32">
                  <v>0.4702596076916711</v>
                </pt>
                <pt idx="33">
                  <v>0.4682327300816597</v>
                </pt>
                <pt idx="34">
                  <v>0.4513792722959367</v>
                </pt>
                <pt idx="35">
                  <v>0.4506620324395895</v>
                </pt>
                <pt idx="36">
                  <v>0.4575966126941219</v>
                </pt>
                <pt idx="37">
                  <v>0.4681552380426988</v>
                </pt>
                <pt idx="38">
                  <v>0.4590815059991725</v>
                </pt>
                <pt idx="39">
                  <v>0.4630702189861548</v>
                </pt>
                <pt idx="40">
                  <v>0.4679900162718222</v>
                </pt>
                <pt idx="41">
                  <v>0.4650579150579151</v>
                </pt>
                <pt idx="42">
                  <v>0.4655483853175588</v>
                </pt>
                <pt idx="43">
                  <v>0.4655355468534554</v>
                </pt>
                <pt idx="44">
                  <v>0.463081483524059</v>
                </pt>
                <pt idx="45">
                  <v>0.4599487122925054</v>
                </pt>
                <pt idx="46">
                  <v>0.4478589351200816</v>
                </pt>
                <pt idx="47">
                  <v>0.4478465865225543</v>
                </pt>
                <pt idx="48">
                  <v>0.4429030301359287</v>
                </pt>
                <pt idx="49">
                  <v>0.4458729633611778</v>
                </pt>
                <pt idx="50">
                  <v>0.4528036610244252</v>
                </pt>
                <pt idx="51">
                  <v>0.4537973811164714</v>
                </pt>
                <pt idx="52">
                  <v>0.4537848715404124</v>
                </pt>
                <pt idx="53">
                  <v>0.4442900851732407</v>
                </pt>
                <pt idx="54">
                  <v>0.4448814773980154</v>
                </pt>
                <pt idx="55">
                  <v>0.4426559356136821</v>
                </pt>
                <pt idx="56">
                  <v>0.4426437351854914</v>
                </pt>
                <pt idx="57">
                  <v>0.4396135931427942</v>
                </pt>
                <pt idx="58">
                  <v>0.437541335978836</v>
                </pt>
                <pt idx="59">
                  <v>0.437529278844829</v>
                </pt>
                <pt idx="60">
                  <v>0.4394282171397079</v>
                </pt>
                <pt idx="61">
                  <v>0.4455266855867522</v>
                </pt>
                <pt idx="62">
                  <v>0.4414917066181738</v>
                </pt>
                <pt idx="63">
                  <v>0.4372558203609312</v>
                </pt>
                <pt idx="64">
                  <v>0.437143211373154</v>
                </pt>
                <pt idx="65">
                  <v>0.4374328456897264</v>
                </pt>
                <pt idx="66">
                  <v>0.4462451790633609</v>
                </pt>
                <pt idx="67">
                  <v>0.4374851932453651</v>
                </pt>
                <pt idx="68">
                  <v>0.4423998677758801</v>
                </pt>
                <pt idx="69">
                  <v>0.4423389429035723</v>
                </pt>
                <pt idx="70">
                  <v>0.4501680070507877</v>
                </pt>
                <pt idx="71">
                  <v>0.4513619212867333</v>
                </pt>
                <pt idx="72">
                  <v>0.433308090543592</v>
                </pt>
                <pt idx="73">
                  <v>0.4301803662398458</v>
                </pt>
                <pt idx="74">
                  <v>0.4407217204537945</v>
                </pt>
                <pt idx="75">
                  <v>0.4321667538618278</v>
                </pt>
                <pt idx="76">
                  <v>0.4321548543421995</v>
                </pt>
                <pt idx="77">
                  <v>0.433124087993172</v>
                </pt>
                <pt idx="78">
                  <v>0.4322077528770442</v>
                </pt>
                <pt idx="79">
                  <v>0.4240563830080115</v>
                </pt>
                <pt idx="80">
                  <v>0.4186185442131923</v>
                </pt>
                <pt idx="81">
                  <v>0.4220233998623538</v>
                </pt>
                <pt idx="82">
                  <v>0.4219885487778022</v>
                </pt>
                <pt idx="83">
                  <v>0.4330287098461285</v>
                </pt>
                <pt idx="84">
                  <v>0.4307060280759702</v>
                </pt>
                <pt idx="85">
                  <v>0.4325025460350664</v>
                </pt>
                <pt idx="86">
                  <v>0.4370114499614665</v>
                </pt>
                <pt idx="87">
                  <v>0.435669464703454</v>
                </pt>
                <pt idx="88">
                  <v>0.4334475451343021</v>
                </pt>
                <pt idx="89">
                  <v>0.4319288879103944</v>
                </pt>
                <pt idx="90">
                  <v>0.4319170014860477</v>
                </pt>
                <pt idx="91">
                  <v>0.4319051157158975</v>
                </pt>
                <pt idx="92">
                  <v>0.4318694623300864</v>
                </pt>
                <pt idx="93">
                  <v>0.4293467792972512</v>
                </pt>
                <pt idx="94">
                  <v>0.4243135042923178</v>
                </pt>
                <pt idx="95">
                  <v>0.4293231531159719</v>
                </pt>
                <pt idx="96">
                  <v>0.437043966323667</v>
                </pt>
                <pt idx="97">
                  <v>0.4329912789897934</v>
                </pt>
                <pt idx="98">
                  <v>0.4297661623108666</v>
                </pt>
                <pt idx="99">
                  <v>0.4297543396330225</v>
                </pt>
                <pt idx="100">
                  <v>0.4272323393485915</v>
                </pt>
                <pt idx="101">
                  <v>0.4337468709597558</v>
                </pt>
                <pt idx="102">
                  <v>0.4256559766763848</v>
                </pt>
                <pt idx="103">
                  <v>0.4236365136554911</v>
                </pt>
                <pt idx="104">
                  <v>0.4237252475247525</v>
                </pt>
                <pt idx="105">
                  <v>0.4255974479553392</v>
                </pt>
                <pt idx="106">
                  <v>0.4195633043669563</v>
                </pt>
                <pt idx="107">
                  <v>0.4165406297263853</v>
                </pt>
                <pt idx="108">
                  <v>0.4215475994060386</v>
                </pt>
                <pt idx="109">
                  <v>0.4165177221107048</v>
                </pt>
                <pt idx="110">
                  <v>0.4164833654110531</v>
                </pt>
                <pt idx="111">
                  <v>0.411454180528443</v>
                </pt>
                <pt idx="112">
                  <v>0.4089340701638623</v>
                </pt>
                <pt idx="113">
                  <v>0.405410606768757</v>
                </pt>
                <pt idx="114">
                  <v>0.3863336449112003</v>
                </pt>
                <pt idx="115">
                  <v>0.3993457404403881</v>
                </pt>
                <pt idx="116">
                  <v>0.3842844576392325</v>
                </pt>
                <pt idx="117">
                  <v>0.3712306550482421</v>
                </pt>
                <pt idx="118">
                  <v>0.3732270478284772</v>
                </pt>
                <pt idx="119">
                  <v>0.3792364146120227</v>
                </pt>
                <pt idx="120">
                  <v>0.388233839050132</v>
                </pt>
                <pt idx="121">
                  <v>0.4011639411845541</v>
                </pt>
                <pt idx="122">
                  <v>0.3997485296542627</v>
                </pt>
                <pt idx="123">
                  <v>0.3991356803253909</v>
                </pt>
                <pt idx="124">
                  <v>0.3972188633615478</v>
                </pt>
                <pt idx="125">
                  <v>0.4011980984309307</v>
                </pt>
                <pt idx="126">
                  <v>0.4011870740822159</v>
                </pt>
                <pt idx="127">
                  <v>0.3892303676430181</v>
                </pt>
                <pt idx="128">
                  <v>0.3921280395658744</v>
                </pt>
                <pt idx="129">
                  <v>0.382167976262432</v>
                </pt>
                <pt idx="130">
                  <v>0.3820571993736092</v>
                </pt>
                <pt idx="131">
                  <v>0.3895673076923077</v>
                </pt>
                <pt idx="132">
                  <v>0.389413542095866</v>
                </pt>
                <pt idx="133">
                  <v>0.3879992308960062</v>
                </pt>
                <pt idx="134">
                  <v>0.3799681379954404</v>
                </pt>
                <pt idx="135">
                  <v>0.3760478466271149</v>
                </pt>
                <pt idx="136">
                  <v>0.3786440165893049</v>
                </pt>
                <pt idx="137">
                  <v>0.3869328792705701</v>
                </pt>
                <pt idx="138">
                  <v>0.3999533133770906</v>
                </pt>
                <pt idx="139">
                  <v>0.3929257977700885</v>
                </pt>
                <pt idx="140">
                  <v>0.3909103391459564</v>
                </pt>
                <pt idx="141">
                  <v>0.3899975285588752</v>
                </pt>
                <pt idx="142">
                  <v>0.3939742991295753</v>
                </pt>
                <pt idx="143">
                  <v>0.3943643602416255</v>
                </pt>
                <pt idx="144">
                  <v>0.3908459405288158</v>
                </pt>
                <pt idx="145">
                  <v>0.3988523419911043</v>
                </pt>
                <pt idx="146">
                  <v>0.3983403344040853</v>
                </pt>
                <pt idx="147">
                  <v>0.3958024488003075</v>
                </pt>
                <pt idx="148">
                  <v>0.3947895791583166</v>
                </pt>
                <pt idx="149">
                  <v>0.3932757768749314</v>
                </pt>
                <pt idx="150">
                  <v>0.3977737516813528</v>
                </pt>
                <pt idx="151">
                  <v>0.3907493823771617</v>
                </pt>
                <pt idx="152">
                  <v>0.3963275052836714</v>
                </pt>
                <pt idx="153">
                  <v>0.3667631882307735</v>
                </pt>
                <pt idx="154">
                  <v>0.3881912995745849</v>
                </pt>
                <pt idx="155">
                  <v>0.392688549785926</v>
                </pt>
                <pt idx="156">
                  <v>0.3886708565469166</v>
                </pt>
                <pt idx="157">
                  <v>0.3956503841931943</v>
                </pt>
                <pt idx="158">
                  <v>0.3888285173293817</v>
                </pt>
                <pt idx="159">
                  <v>0.3925237363481697</v>
                </pt>
                <pt idx="160">
                  <v>0.387705457838268</v>
                </pt>
                <pt idx="161">
                  <v>0.3956069586214466</v>
                </pt>
                <pt idx="162">
                  <v>0.4075918456937471</v>
                </pt>
                <pt idx="163">
                  <v>0.4030742427568042</v>
                </pt>
                <pt idx="164">
                  <v>0.4015610853521359</v>
                </pt>
                <pt idx="165">
                  <v>0.4035528120713305</v>
                </pt>
                <pt idx="166">
                  <v>0.403541740967326</v>
                </pt>
                <pt idx="167">
                  <v>0.4064900153609831</v>
                </pt>
                <pt idx="168">
                  <v>0.4104835833996215</v>
                </pt>
                <pt idx="169">
                  <v>0.4005609194141204</v>
                </pt>
                <pt idx="170">
                  <v>0.4054332026000384</v>
                </pt>
                <pt idx="171">
                  <v>0.4084252098074708</v>
                </pt>
                <pt idx="172">
                  <v>0.4194251707210048</v>
                </pt>
                <pt idx="173">
                  <v>0.4184126810004388</v>
                </pt>
                <pt idx="174">
                  <v>0.4177005347593583</v>
                </pt>
                <pt idx="175">
                  <v>0.423871613469343</v>
                </pt>
                <pt idx="176">
                  <v>0.42536126573254</v>
                </pt>
                <pt idx="177">
                  <v>0.4403619413216342</v>
                </pt>
                <pt idx="178">
                  <v>0.4403498670176305</v>
                </pt>
                <pt idx="179">
                  <v>0.4493447027856986</v>
                </pt>
                <pt idx="180">
                  <v>0.4528101439342015</v>
                </pt>
                <pt idx="181">
                  <v>0.4402895054282268</v>
                </pt>
                <pt idx="182">
                  <v>0.4352742824245415</v>
                </pt>
                <pt idx="183">
                  <v>0.4312599374965733</v>
                </pt>
                <pt idx="184">
                  <v>0.4322486910277146</v>
                </pt>
                <pt idx="185">
                  <v>0.4216964065455143</v>
                </pt>
                <pt idx="186">
                  <v>0.4161824361363886</v>
                </pt>
                <pt idx="187">
                  <v>0.4071673290393313</v>
                </pt>
                <pt idx="188">
                  <v>0.4001534835279285</v>
                </pt>
                <pt idx="189">
                  <v>0.4051220915892461</v>
                </pt>
                <pt idx="190">
                  <v>0.3951082488352973</v>
                </pt>
                <pt idx="191">
                  <v>0.3955975446000383</v>
                </pt>
                <pt idx="192">
                  <v>0.400087690452702</v>
                </pt>
                <pt idx="193">
                  <v>0.3970761515907161</v>
                </pt>
                <pt idx="194">
                  <v>0.3955433472161333</v>
                </pt>
                <pt idx="195">
                  <v>0.3980327150176727</v>
                </pt>
                <pt idx="196">
                  <v>0.3890213162365061</v>
                </pt>
                <pt idx="197">
                  <v>0.3904106961834571</v>
                </pt>
                <pt idx="198">
                  <v>0.3914678245623647</v>
                </pt>
                <pt idx="199">
                  <v>0.3930569252684638</v>
                </pt>
                <pt idx="200">
                  <v>0.3949458978222161</v>
                </pt>
                <pt idx="201">
                  <v>0.3949350791650688</v>
                </pt>
                <pt idx="202">
                  <v>0.3970238584381078</v>
                </pt>
                <pt idx="203">
                  <v>0.3988907148726376</v>
                </pt>
                <pt idx="204">
                  <v>0.4088767768617677</v>
                </pt>
                <pt idx="205">
                  <v>0.4003683720420683</v>
                </pt>
                <pt idx="206">
                  <v>0.4058554487442829</v>
                </pt>
                <pt idx="207">
                  <v>0.4053445253875226</v>
                </pt>
                <pt idx="208">
                  <v>0.4053112249089465</v>
                </pt>
                <pt idx="209">
                  <v>0.4028013582342954</v>
                </pt>
                <pt idx="210">
                  <v>0.4027903283222432</v>
                </pt>
                <pt idx="211">
                  <v>0.4097754654983571</v>
                </pt>
                <pt idx="212">
                  <v>0.4087648202404096</v>
                </pt>
                <pt idx="213">
                  <v>0.4047449552336884</v>
                </pt>
                <pt idx="214">
                  <v>0.3998370934180265</v>
                </pt>
                <pt idx="215">
                  <v>0.4047227926078029</v>
                </pt>
                <pt idx="216">
                  <v>0.4097081530964244</v>
                </pt>
                <pt idx="217">
                  <v>0.4037013715881403</v>
                </pt>
                <pt idx="218">
                  <v>0.400160137965016</v>
                </pt>
                <pt idx="219">
                  <v>0.4046452425270995</v>
                </pt>
                <pt idx="220">
                  <v>0.4046341663701311</v>
                </pt>
                <pt idx="221">
                  <v>0.4066212295396069</v>
                </pt>
                <pt idx="222">
                  <v>0.4056110578896948</v>
                </pt>
                <pt idx="223">
                  <v>0.3976750868934563</v>
                </pt>
                <pt idx="224">
                  <v>0.3995621237000547</v>
                </pt>
                <pt idx="225">
                  <v>0.3995511890752853</v>
                </pt>
                <pt idx="226">
                  <v>0.3895517486727601</v>
                </pt>
                <pt idx="227">
                  <v>0.399507456560405</v>
                </pt>
                <pt idx="228">
                  <v>0.4094839380506758</v>
                </pt>
                <pt idx="229">
                  <v>0.4134675896790434</v>
                </pt>
                <pt idx="230">
                  <v>0.4164523366531684</v>
                </pt>
                <pt idx="231">
                  <v>0.4204355796328217</v>
                </pt>
                <pt idx="232">
                  <v>0.4243953819216459</v>
                </pt>
                <pt idx="233">
                  <v>0.4203895713074167</v>
                </pt>
                <pt idx="234">
                  <v>0.424372161733326</v>
                </pt>
                <pt idx="235">
                  <v>0.4333470113527561</v>
                </pt>
                <pt idx="236">
                  <v>0.421852773826458</v>
                </pt>
                <pt idx="237">
                  <v>0.4268100878032769</v>
                </pt>
                <pt idx="238">
                  <v>0.4292943107221007</v>
                </pt>
                <pt idx="239">
                  <v>0.4242909110801127</v>
                </pt>
                <pt idx="240">
                  <v>0.416792024506318</v>
                </pt>
                <pt idx="241">
                  <v>0.4167806252222192</v>
                </pt>
                <pt idx="242">
                  <v>0.4332166493463873</v>
                </pt>
                <pt idx="243">
                  <v>0.4292121311565072</v>
                </pt>
                <pt idx="244">
                  <v>0.4341910960402538</v>
                </pt>
                <pt idx="245">
                  <v>0.4291886570592578</v>
                </pt>
                <pt idx="246">
                  <v>0.4341673502871206</v>
                </pt>
                <pt idx="247">
                  <v>0.4341317365269461</v>
                </pt>
                <pt idx="248">
                  <v>0.4111664023623339</v>
                </pt>
                <pt idx="249">
                  <v>0.414149008885851</v>
                </pt>
                <pt idx="250">
                  <v>0.4132395559930008</v>
                </pt>
                <pt idx="251">
                  <v>0.4081389944500642</v>
                </pt>
                <pt idx="252">
                  <v>0.4061098961180973</v>
                </pt>
                <pt idx="253">
                  <v>0.4110877231349608</v>
                </pt>
                <pt idx="254">
                  <v>0.416564157235799</v>
                </pt>
                <pt idx="255">
                  <v>0.4130607112593281</v>
                </pt>
                <pt idx="256">
                  <v>0.4198338071287995</v>
                </pt>
                <pt idx="257">
                  <v>0.4140131740782245</v>
                </pt>
                <pt idx="258">
                  <v>0.4159970482125288</v>
                </pt>
                <pt idx="259">
                  <v>0.4159856787559102</v>
                </pt>
                <pt idx="260">
                  <v>0.4089915277398196</v>
                </pt>
                <pt idx="261">
                  <v>0.4039486268615931</v>
                </pt>
                <pt idx="262">
                  <v>0.4045360148650126</v>
                </pt>
                <pt idx="263">
                  <v>0.4039265513566686</v>
                </pt>
                <pt idx="264">
                  <v>0.4050125689928412</v>
                </pt>
                <pt idx="265">
                  <v>0.3939100024589492</v>
                </pt>
              </numCache>
            </numRef>
          </val>
          <smooth val="0"/>
        </ser>
        <ser>
          <idx val="2"/>
          <order val="2"/>
          <tx>
            <strRef>
              <f>'Grafico Paridades bkp'!$D$1:$D$2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bkp'!$A$3:$A$270</f>
              <strCache>
                <ptCount val="267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</strCache>
            </strRef>
          </cat>
          <val>
            <numRef>
              <f>'Grafico Paridades bkp'!$D$3:$D$270</f>
              <numCache>
                <formatCode>0.00%</formatCode>
                <ptCount val="267"/>
                <pt idx="0">
                  <v>0.4925026225394409</v>
                </pt>
                <pt idx="1">
                  <v>0.4839922798188568</v>
                </pt>
                <pt idx="2">
                  <v>0.4519581493568823</v>
                </pt>
                <pt idx="3">
                  <v>0.4429474983287911</v>
                </pt>
                <pt idx="4">
                  <v>0.4429459798564308</v>
                </pt>
                <pt idx="5">
                  <v>0.4339324463763545</v>
                </pt>
                <pt idx="6">
                  <v>0.4269239998628775</v>
                </pt>
                <pt idx="7">
                  <v>0.4304260038188481</v>
                </pt>
                <pt idx="8">
                  <v>0.4344284774023695</v>
                </pt>
                <pt idx="9">
                  <v>0.4293219705669614</v>
                </pt>
                <pt idx="10">
                  <v>0.4247130771023873</v>
                </pt>
                <pt idx="11">
                  <v>0.4184055094492264</v>
                </pt>
                <pt idx="12">
                  <v>0.4244098752905203</v>
                </pt>
                <pt idx="13">
                  <v>0.4294132367106702</v>
                </pt>
                <pt idx="14">
                  <v>0.421904566022213</v>
                </pt>
                <pt idx="15">
                  <v>0.416895479615937</v>
                </pt>
                <pt idx="16">
                  <v>0.4143916852915769</v>
                </pt>
                <pt idx="17">
                  <v>0.4163921501414003</v>
                </pt>
                <pt idx="18">
                  <v>0.414789220021527</v>
                </pt>
                <pt idx="19">
                  <v>0.4159889211488824</v>
                </pt>
                <pt idx="20">
                  <v>0.4159832174160443</v>
                </pt>
                <pt idx="21">
                  <v>0.411177381980722</v>
                </pt>
                <pt idx="22">
                  <v>0.4042696575293162</v>
                </pt>
                <pt idx="23">
                  <v>0.3983628922237381</v>
                </pt>
                <pt idx="24">
                  <v>0.3888502315441648</v>
                </pt>
                <pt idx="25">
                  <v>0.3783394689755877</v>
                </pt>
                <pt idx="26">
                  <v>0.3678287784629412</v>
                </pt>
                <pt idx="27">
                  <v>0.3777363405772263</v>
                </pt>
                <pt idx="28">
                  <v>0.3731309620519571</v>
                </pt>
                <pt idx="29">
                  <v>0.3603158933859822</v>
                </pt>
                <pt idx="30">
                  <v>0.3663199026547156</v>
                </pt>
                <pt idx="31">
                  <v>0.3613142939406196</v>
                </pt>
                <pt idx="32">
                  <v>0.3612129687708872</v>
                </pt>
                <pt idx="33">
                  <v>0.3601107805366275</v>
                </pt>
                <pt idx="34">
                  <v>0.3628093819729838</v>
                </pt>
                <pt idx="35">
                  <v>0.3688132386410376</v>
                </pt>
                <pt idx="36">
                  <v>0.3728153609388764</v>
                </pt>
                <pt idx="37">
                  <v>0.3743153478615546</v>
                </pt>
                <pt idx="38">
                  <v>0.3741138969340714</v>
                </pt>
                <pt idx="39">
                  <v>0.379314363273672</v>
                </pt>
                <pt idx="40">
                  <v>0.3853180193241683</v>
                </pt>
                <pt idx="41">
                  <v>0.3848162873594735</v>
                </pt>
                <pt idx="42">
                  <v>0.3903194738158973</v>
                </pt>
                <pt idx="43">
                  <v>0.3970236014285616</v>
                </pt>
                <pt idx="44">
                  <v>0.3983205662091066</v>
                </pt>
                <pt idx="45">
                  <v>0.3968179979846864</v>
                </pt>
                <pt idx="46">
                  <v>0.3943146414776174</v>
                </pt>
                <pt idx="47">
                  <v>0.3903101094019906</v>
                </pt>
                <pt idx="48">
                  <v>0.3882071090485967</v>
                </pt>
                <pt idx="49">
                  <v>0.3807960297902822</v>
                </pt>
                <pt idx="50">
                  <v>0.3802943373981232</v>
                </pt>
                <pt idx="51">
                  <v>0.3753892554194156</v>
                </pt>
                <pt idx="52">
                  <v>0.3752878920815969</v>
                </pt>
                <pt idx="53">
                  <v>0.3717813824846887</v>
                </pt>
                <pt idx="54">
                  <v>0.3697786003153061</v>
                </pt>
                <pt idx="55">
                  <v>0.3800850637978483</v>
                </pt>
                <pt idx="56">
                  <v>0.3741793530786683</v>
                </pt>
                <pt idx="57">
                  <v>0.3715761370607609</v>
                </pt>
                <pt idx="58">
                  <v>0.3715697698328924</v>
                </pt>
                <pt idx="59">
                  <v>0.3737700872891028</v>
                </pt>
                <pt idx="60">
                  <v>0.3734685904246204</v>
                </pt>
                <pt idx="61">
                  <v>0.3744654601035666</v>
                </pt>
                <pt idx="62">
                  <v>0.3702612116767308</v>
                </pt>
                <pt idx="63">
                  <v>0.3730619099025</v>
                </pt>
                <pt idx="64">
                  <v>0.3792649659351053</v>
                </pt>
                <pt idx="65">
                  <v>0.3828661706597394</v>
                </pt>
                <pt idx="66">
                  <v>0.3863646333104866</v>
                </pt>
                <pt idx="67">
                  <v>0.3867635820302192</v>
                </pt>
                <pt idx="68">
                  <v>0.386061781619043</v>
                </pt>
                <pt idx="69">
                  <v>0.3902579444632925</v>
                </pt>
                <pt idx="70">
                  <v>0.3882552911503454</v>
                </pt>
                <pt idx="71">
                  <v>0.3822500334122663</v>
                </pt>
                <pt idx="72">
                  <v>0.3725373011575867</v>
                </pt>
                <pt idx="73">
                  <v>0.3692339324572075</v>
                </pt>
                <pt idx="74">
                  <v>0.3740356937248129</v>
                </pt>
                <pt idx="75">
                  <v>0.3713327187929422</v>
                </pt>
                <pt idx="76">
                  <v>0.3702307602683865</v>
                </pt>
                <pt idx="77">
                  <v>0.3641232125172623</v>
                </pt>
                <pt idx="78">
                  <v>0.363721720774993</v>
                </pt>
                <pt idx="79">
                  <v>0.3624196859054975</v>
                </pt>
                <pt idx="80">
                  <v>0.3571152475464663</v>
                </pt>
                <pt idx="81">
                  <v>0.3572140837830892</v>
                </pt>
                <pt idx="82">
                  <v>0.3582110010005893</v>
                </pt>
                <pt idx="83">
                  <v>0.358710066511553</v>
                </pt>
                <pt idx="84">
                  <v>0.3638118082445259</v>
                </pt>
                <pt idx="85">
                  <v>0.360308534734144</v>
                </pt>
                <pt idx="86">
                  <v>0.3622083938704461</v>
                </pt>
                <pt idx="87">
                  <v>0.3652063666112701</v>
                </pt>
                <pt idx="88">
                  <v>0.3640044408503406</v>
                </pt>
                <pt idx="89">
                  <v>0.3669048133033166</v>
                </pt>
                <pt idx="90">
                  <v>0.3677040001644748</v>
                </pt>
                <pt idx="91">
                  <v>0.3672024643724794</v>
                </pt>
                <pt idx="92">
                  <v>0.3676989603963788</v>
                </pt>
                <pt idx="93">
                  <v>0.3666971625154621</v>
                </pt>
                <pt idx="94">
                  <v>0.3656953714998423</v>
                </pt>
                <pt idx="95">
                  <v>0.3629926844729223</v>
                </pt>
                <pt idx="96">
                  <v>0.3601899631997698</v>
                </pt>
                <pt idx="97">
                  <v>0.3601862607033089</v>
                </pt>
                <pt idx="98">
                  <v>0.3581839986294329</v>
                </pt>
                <pt idx="99">
                  <v>0.3551812397421972</v>
                </pt>
                <pt idx="100">
                  <v>0.3551800227512575</v>
                </pt>
                <pt idx="101">
                  <v>0.3531777984122144</v>
                </pt>
                <pt idx="102">
                  <v>0.3470687800231619</v>
                </pt>
                <pt idx="103">
                  <v>0.3479680256562244</v>
                </pt>
                <pt idx="104">
                  <v>0.3481669293496882</v>
                </pt>
                <pt idx="105">
                  <v>0.3441614730198758</v>
                </pt>
                <pt idx="106">
                  <v>0.3411588959241291</v>
                </pt>
                <pt idx="107">
                  <v>0.3431586521165607</v>
                </pt>
                <pt idx="108">
                  <v>0.346158853720543</v>
                </pt>
                <pt idx="109">
                  <v>0.3486588069223311</v>
                </pt>
                <pt idx="110">
                  <v>0.3506561140233665</v>
                </pt>
                <pt idx="111">
                  <v>0.344652260759034</v>
                </pt>
                <pt idx="112">
                  <v>0.3356471329898037</v>
                </pt>
                <pt idx="113">
                  <v>0.3381470708150462</v>
                </pt>
                <pt idx="114">
                  <v>0.335144617197832</v>
                </pt>
                <pt idx="115">
                  <v>0.3306392761334397</v>
                </pt>
                <pt idx="116">
                  <v>0.3261362624110073</v>
                </pt>
                <pt idx="117">
                  <v>0.3211330722662473</v>
                </pt>
                <pt idx="118">
                  <v>0.3206317664793751</v>
                </pt>
                <pt idx="119">
                  <v>0.3276335218804924</v>
                </pt>
                <pt idx="120">
                  <v>0.3366337312082882</v>
                </pt>
                <pt idx="121">
                  <v>0.3426349418435343</v>
                </pt>
                <pt idx="122">
                  <v>0.3406329868510308</v>
                </pt>
                <pt idx="123">
                  <v>0.3393313165711389</v>
                </pt>
                <pt idx="124">
                  <v>0.3446321876884285</v>
                </pt>
                <pt idx="125">
                  <v>0.3531318197546344</v>
                </pt>
                <pt idx="126">
                  <v>0.3533306839515986</v>
                </pt>
                <pt idx="127">
                  <v>0.3481263746428498</v>
                </pt>
                <pt idx="128">
                  <v>0.3475249661693418</v>
                </pt>
                <pt idx="129">
                  <v>0.3432198918800403</v>
                </pt>
                <pt idx="130">
                  <v>0.3401176434314609</v>
                </pt>
                <pt idx="131">
                  <v>0.3391161356628982</v>
                </pt>
                <pt idx="132">
                  <v>0.3391103269899454</v>
                </pt>
                <pt idx="133">
                  <v>0.3371085212362884</v>
                </pt>
                <pt idx="134">
                  <v>0.3243032883760924</v>
                </pt>
                <pt idx="135">
                  <v>0.3332049823917125</v>
                </pt>
                <pt idx="136">
                  <v>0.3311031862669531</v>
                </pt>
                <pt idx="137">
                  <v>0.3371015922606813</v>
                </pt>
                <pt idx="138">
                  <v>0.3385008547067106</v>
                </pt>
                <pt idx="139">
                  <v>0.3365991353617846</v>
                </pt>
                <pt idx="140">
                  <v>0.3350975455183872</v>
                </pt>
                <pt idx="141">
                  <v>0.3360966853478398</v>
                </pt>
                <pt idx="142">
                  <v>0.3350929538673399</v>
                </pt>
                <pt idx="143">
                  <v>0.336592217045766</v>
                </pt>
                <pt idx="144">
                  <v>0.3380914699524871</v>
                </pt>
                <pt idx="145">
                  <v>0.342091380574263</v>
                </pt>
                <pt idx="146">
                  <v>0.3387893382844106</v>
                </pt>
                <pt idx="147">
                  <v>0.3375855525030316</v>
                </pt>
                <pt idx="148">
                  <v>0.3390847711927982</v>
                </pt>
                <pt idx="149">
                  <v>0.3430845962018031</v>
                </pt>
                <pt idx="150">
                  <v>0.3390824481295109</v>
                </pt>
                <pt idx="151">
                  <v>0.3406816702634193</v>
                </pt>
                <pt idx="152">
                  <v>0.3365772283366389</v>
                </pt>
                <pt idx="153">
                  <v>0.336576075414306</v>
                </pt>
                <pt idx="154">
                  <v>0.3387754123349375</v>
                </pt>
                <pt idx="155">
                  <v>0.3352734845993643</v>
                </pt>
                <pt idx="156">
                  <v>0.3345721850947294</v>
                </pt>
                <pt idx="157">
                  <v>0.3354689319723231</v>
                </pt>
                <pt idx="158">
                  <v>0.3315669947009841</v>
                </pt>
                <pt idx="159">
                  <v>0.3340663556459845</v>
                </pt>
                <pt idx="160">
                  <v>0.3353654651764215</v>
                </pt>
                <pt idx="161">
                  <v>0.3450661770750555</v>
                </pt>
                <pt idx="162">
                  <v>0.3520639020096114</v>
                </pt>
                <pt idx="163">
                  <v>0.3550632304382972</v>
                </pt>
                <pt idx="164">
                  <v>0.3515614028477577</v>
                </pt>
                <pt idx="165">
                  <v>0.3525603699263573</v>
                </pt>
                <pt idx="166">
                  <v>0.3507588602196944</v>
                </pt>
                <pt idx="167">
                  <v>0.3665552343503816</v>
                </pt>
                <pt idx="168">
                  <v>0.3665539788393496</v>
                </pt>
                <pt idx="169">
                  <v>0.3632522486111016</v>
                </pt>
                <pt idx="170">
                  <v>0.3625484225632876</v>
                </pt>
                <pt idx="171">
                  <v>0.3680478966440838</v>
                </pt>
                <pt idx="172">
                  <v>0.3760476498734429</v>
                </pt>
                <pt idx="173">
                  <v>0.3696455727418449</v>
                </pt>
                <pt idx="174">
                  <v>0.3701443666192865</v>
                </pt>
                <pt idx="175">
                  <v>0.3730408811924594</v>
                </pt>
                <pt idx="176">
                  <v>0.3755398689586908</v>
                </pt>
                <pt idx="177">
                  <v>0.3815391992327979</v>
                </pt>
                <pt idx="178">
                  <v>0.3833380712468019</v>
                </pt>
                <pt idx="179">
                  <v>0.3866370747879934</v>
                </pt>
                <pt idx="180">
                  <v>0.3870331363986643</v>
                </pt>
                <pt idx="181">
                  <v>0.3825314409403512</v>
                </pt>
                <pt idx="182">
                  <v>0.3854303592406251</v>
                </pt>
                <pt idx="183">
                  <v>0.3798286172245854</v>
                </pt>
                <pt idx="184">
                  <v>0.3790272588097089</v>
                </pt>
                <pt idx="185">
                  <v>0.3732217286622851</v>
                </pt>
                <pt idx="186">
                  <v>0.3735204668748973</v>
                </pt>
                <pt idx="187">
                  <v>0.3711190643354967</v>
                </pt>
                <pt idx="188">
                  <v>0.3620173569965683</v>
                </pt>
                <pt idx="189">
                  <v>0.3600135621547387</v>
                </pt>
                <pt idx="190">
                  <v>0.3535121065789925</v>
                </pt>
                <pt idx="191">
                  <v>0.3501107910860266</v>
                </pt>
                <pt idx="192">
                  <v>0.3525096577988438</v>
                </pt>
                <pt idx="193">
                  <v>0.357308565616299</v>
                </pt>
                <pt idx="194">
                  <v>0.3566048849984246</v>
                </pt>
                <pt idx="195">
                  <v>0.354003637023668</v>
                </pt>
                <pt idx="196">
                  <v>0.3570024452222276</v>
                </pt>
                <pt idx="197">
                  <v>0.356601221237059</v>
                </pt>
                <pt idx="198">
                  <v>0.3595963055174091</v>
                </pt>
                <pt idx="199">
                  <v>0.3649950000684922</v>
                </pt>
                <pt idx="200">
                  <v>0.3681936953134364</v>
                </pt>
                <pt idx="201">
                  <v>0.3699923974164914</v>
                </pt>
                <pt idx="202">
                  <v>0.3719910824055588</v>
                </pt>
                <pt idx="203">
                  <v>0.3764871066059381</v>
                </pt>
                <pt idx="204">
                  <v>0.3819856101311253</v>
                </pt>
                <pt idx="205">
                  <v>0.3814843225620865</v>
                </pt>
                <pt idx="206">
                  <v>0.3854828380928246</v>
                </pt>
                <pt idx="207">
                  <v>0.3858814988322478</v>
                </pt>
                <pt idx="208">
                  <v>0.3844776160292038</v>
                </pt>
                <pt idx="209">
                  <v>0.3839763302262189</v>
                </pt>
                <pt idx="210">
                  <v>0.3844749827922156</v>
                </pt>
                <pt idx="211">
                  <v>0.3844736661872475</v>
                </pt>
                <pt idx="212">
                  <v>0.3847723280175055</v>
                </pt>
                <pt idx="213">
                  <v>0.3829698345678251</v>
                </pt>
                <pt idx="214">
                  <v>0.3822685806646029</v>
                </pt>
                <pt idx="215">
                  <v>0.3814673401249893</v>
                </pt>
                <pt idx="216">
                  <v>0.3769664344955587</v>
                </pt>
                <pt idx="217">
                  <v>0.3739654210055919</v>
                </pt>
                <pt idx="218">
                  <v>0.3739602987354082</v>
                </pt>
                <pt idx="219">
                  <v>0.3773586456278764</v>
                </pt>
                <pt idx="220">
                  <v>0.3780572743491318</v>
                </pt>
                <pt idx="221">
                  <v>0.3839552928768568</v>
                </pt>
                <pt idx="222">
                  <v>0.3774547571352749</v>
                </pt>
                <pt idx="223">
                  <v>0.3774495872126668</v>
                </pt>
                <pt idx="224">
                  <v>0.376448431721682</v>
                </pt>
                <pt idx="225">
                  <v>0.3724477042607031</v>
                </pt>
                <pt idx="226">
                  <v>0.3719465008457688</v>
                </pt>
                <pt idx="227">
                  <v>0.3739423718947422</v>
                </pt>
                <pt idx="228">
                  <v>0.3774405401888744</v>
                </pt>
                <pt idx="229">
                  <v>0.3766393765387078</v>
                </pt>
                <pt idx="230">
                  <v>0.3749383662959513</v>
                </pt>
                <pt idx="231">
                  <v>0.377936579135693</v>
                </pt>
                <pt idx="232">
                  <v>0.3839316286140824</v>
                </pt>
                <pt idx="233">
                  <v>0.3844302232813908</v>
                </pt>
                <pt idx="234">
                  <v>0.3869284447396715</v>
                </pt>
                <pt idx="235">
                  <v>0.3939258016469501</v>
                </pt>
                <pt idx="236">
                  <v>0.3924247404607336</v>
                </pt>
                <pt idx="237">
                  <v>0.3959200024652553</v>
                </pt>
                <pt idx="238">
                  <v>0.3969184414161474</v>
                </pt>
                <pt idx="239">
                  <v>0.3914182311229503</v>
                </pt>
                <pt idx="240">
                  <v>0.3889174216433497</v>
                </pt>
                <pt idx="241">
                  <v>0.3859167371423289</v>
                </pt>
                <pt idx="242">
                  <v>0.3964104003889531</v>
                </pt>
                <pt idx="243">
                  <v>0.3939096166290611</v>
                </pt>
                <pt idx="244">
                  <v>0.3944081515263569</v>
                </pt>
                <pt idx="245">
                  <v>0.3949066830098367</v>
                </pt>
                <pt idx="246">
                  <v>0.3919060499195399</v>
                </pt>
                <pt idx="247">
                  <v>0.3861034741314671</v>
                </pt>
                <pt idx="248">
                  <v>0.3873018481617673</v>
                </pt>
                <pt idx="249">
                  <v>0.3835014979029359</v>
                </pt>
                <pt idx="250">
                  <v>0.3799011216258782</v>
                </pt>
                <pt idx="251">
                  <v>0.3734015345268543</v>
                </pt>
                <pt idx="252">
                  <v>0.3778964667214462</v>
                </pt>
                <pt idx="253">
                  <v>0.3788948955940304</v>
                </pt>
                <pt idx="254">
                  <v>0.3818927561438227</v>
                </pt>
                <pt idx="255">
                  <v>0.3798920169951692</v>
                </pt>
                <pt idx="256">
                  <v>0.3798907163692636</v>
                </pt>
                <pt idx="257">
                  <v>0.3778874102579026</v>
                </pt>
                <pt idx="258">
                  <v>0.3798855139546986</v>
                </pt>
                <pt idx="259">
                  <v>0.3733861939340407</v>
                </pt>
                <pt idx="260">
                  <v>0.3723852237324112</v>
                </pt>
                <pt idx="261">
                  <v>0.3838751091254557</v>
                </pt>
                <pt idx="262">
                  <v>0.3748767528483786</v>
                </pt>
                <pt idx="263">
                  <v>0.3698771298575473</v>
                </pt>
                <pt idx="264">
                  <v>0.3698758635800314</v>
                </pt>
                <pt idx="265">
                  <v>0.3728710274870678</v>
                </pt>
              </numCache>
            </numRef>
          </val>
          <smooth val="0"/>
        </ser>
        <ser>
          <idx val="3"/>
          <order val="3"/>
          <tx>
            <strRef>
              <f>'Grafico Paridades bkp'!$E$1:$E$2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bkp'!$A$3:$A$270</f>
              <strCache>
                <ptCount val="267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</strCache>
            </strRef>
          </cat>
          <val>
            <numRef>
              <f>'Grafico Paridades bkp'!$E$3:$E$270</f>
              <numCache>
                <formatCode>0.00%</formatCode>
                <ptCount val="267"/>
                <pt idx="0">
                  <v>0.5192298990065203</v>
                </pt>
                <pt idx="1">
                  <v>0.5113200755563021</v>
                </pt>
                <pt idx="2">
                  <v>0.4800866631928256</v>
                </pt>
                <pt idx="3">
                  <v>0.4694742976637356</v>
                </pt>
                <pt idx="4">
                  <v>0.4714747039827772</v>
                </pt>
                <pt idx="5">
                  <v>0.4616600790513834</v>
                </pt>
                <pt idx="6">
                  <v>0.4543512392444551</v>
                </pt>
                <pt idx="7">
                  <v>0.4659611739015669</v>
                </pt>
                <pt idx="8">
                  <v>0.4604541465555068</v>
                </pt>
                <pt idx="9">
                  <v>0.4524446973566485</v>
                </pt>
                <pt idx="10">
                  <v>0.449437123777921</v>
                </pt>
                <pt idx="11">
                  <v>0.4471333518444246</v>
                </pt>
                <pt idx="12">
                  <v>0.4464311424046511</v>
                </pt>
                <pt idx="13">
                  <v>0.4474305753139151</v>
                </pt>
                <pt idx="14">
                  <v>0.4434252022487316</v>
                </pt>
                <pt idx="15">
                  <v>0.4444215917154287</v>
                </pt>
                <pt idx="16">
                  <v>0.4449205413335893</v>
                </pt>
                <pt idx="17">
                  <v>0.4484223155368926</v>
                </pt>
                <pt idx="18">
                  <v>0.4474198391641472</v>
                </pt>
                <pt idx="19">
                  <v>0.447718586212452</v>
                </pt>
                <pt idx="20">
                  <v>0.447812539634115</v>
                </pt>
                <pt idx="21">
                  <v>0.4449083405317209</v>
                </pt>
                <pt idx="22">
                  <v>0.4444063578683248</v>
                </pt>
                <pt idx="23">
                  <v>0.4423029197830901</v>
                </pt>
                <pt idx="24">
                  <v>0.4338907989044928</v>
                </pt>
                <pt idx="25">
                  <v>0.4141716197410005</v>
                </pt>
                <pt idx="26">
                  <v>0.4033605380151437</v>
                </pt>
                <pt idx="27">
                  <v>0.4013573730033592</v>
                </pt>
                <pt idx="28">
                  <v>0.4018564411584247</v>
                </pt>
                <pt idx="29">
                  <v>0.3826354612262806</v>
                </pt>
                <pt idx="30">
                  <v>0.3925428027901078</v>
                </pt>
                <pt idx="31">
                  <v>0.388337800689641</v>
                </pt>
                <pt idx="32">
                  <v>0.3877359492985361</v>
                </pt>
                <pt idx="33">
                  <v>0.3808286603507136</v>
                </pt>
                <pt idx="34">
                  <v>0.386729779846513</v>
                </pt>
                <pt idx="35">
                  <v>0.384126244207409</v>
                </pt>
                <pt idx="36">
                  <v>0.3842250122535158</v>
                </pt>
                <pt idx="37">
                  <v>0.3802203226005471</v>
                </pt>
                <pt idx="38">
                  <v>0.3803191033572689</v>
                </pt>
                <pt idx="39">
                  <v>0.3838180958191378</v>
                </pt>
                <pt idx="40">
                  <v>0.3843171932999496</v>
                </pt>
                <pt idx="41">
                  <v>0.3923224568138196</v>
                </pt>
                <pt idx="42">
                  <v>0.3950233238849606</v>
                </pt>
                <pt idx="43">
                  <v>0.3993254776153166</v>
                </pt>
                <pt idx="44">
                  <v>0.4029242712456943</v>
                </pt>
                <pt idx="45">
                  <v>0.4021222486513165</v>
                </pt>
                <pt idx="46">
                  <v>0.3977173566578812</v>
                </pt>
                <pt idx="47">
                  <v>0.3946135285569357</v>
                </pt>
                <pt idx="48">
                  <v>0.390809167526365</v>
                </pt>
                <pt idx="49">
                  <v>0.3888022538068979</v>
                </pt>
                <pt idx="50">
                  <v>0.3923036322633272</v>
                </pt>
                <pt idx="51">
                  <v>0.3903007454374089</v>
                </pt>
                <pt idx="52">
                  <v>0.3903994845360825</v>
                </pt>
                <pt idx="53">
                  <v>0.3863924408542082</v>
                </pt>
                <pt idx="54">
                  <v>0.3850901364041401</v>
                </pt>
                <pt idx="55">
                  <v>0.386790092569427</v>
                </pt>
                <pt idx="56">
                  <v>0.3886901865091061</v>
                </pt>
                <pt idx="57">
                  <v>0.3862870695002794</v>
                </pt>
                <pt idx="58">
                  <v>0.3914842282753231</v>
                </pt>
                <pt idx="59">
                  <v>0.3969868637954138</v>
                </pt>
                <pt idx="60">
                  <v>0.3987867987251105</v>
                </pt>
                <pt idx="61">
                  <v>0.4035861038475906</v>
                </pt>
                <pt idx="62">
                  <v>0.4005826027951226</v>
                </pt>
                <pt idx="63">
                  <v>0.3980794736030432</v>
                </pt>
                <pt idx="64">
                  <v>0.3986785288352137</v>
                </pt>
                <pt idx="65">
                  <v>0.4024798061666158</v>
                </pt>
                <pt idx="66">
                  <v>0.4076792323509253</v>
                </pt>
                <pt idx="67">
                  <v>0.4073776306455427</v>
                </pt>
                <pt idx="68">
                  <v>0.4064756238819473</v>
                </pt>
                <pt idx="69">
                  <v>0.4092705109884273</v>
                </pt>
                <pt idx="70">
                  <v>0.4095693058449391</v>
                </pt>
                <pt idx="71">
                  <v>0.4096679677460257</v>
                </pt>
                <pt idx="72">
                  <v>0.4057584625823298</v>
                </pt>
                <pt idx="73">
                  <v>0.4027551702277128</v>
                </pt>
                <pt idx="74">
                  <v>0.4012528442580256</v>
                </pt>
                <pt idx="75">
                  <v>0.3957480201633215</v>
                </pt>
                <pt idx="76">
                  <v>0.3952463521784126</v>
                </pt>
                <pt idx="77">
                  <v>0.3906394673447079</v>
                </pt>
                <pt idx="78">
                  <v>0.3906381287223033</v>
                </pt>
                <pt idx="79">
                  <v>0.3900364261898479</v>
                </pt>
                <pt idx="80">
                  <v>0.3877337025056198</v>
                </pt>
                <pt idx="81">
                  <v>0.387132014049516</v>
                </pt>
                <pt idx="82">
                  <v>0.3882286826486834</v>
                </pt>
                <pt idx="83">
                  <v>0.3881272937233791</v>
                </pt>
                <pt idx="84">
                  <v>0.3876256724805537</v>
                </pt>
                <pt idx="85">
                  <v>0.3871240546754799</v>
                </pt>
                <pt idx="86">
                  <v>0.3871227281449601</v>
                </pt>
                <pt idx="87">
                  <v>0.3861181832199702</v>
                </pt>
                <pt idx="88">
                  <v>0.3860168039583876</v>
                </pt>
                <pt idx="89">
                  <v>0.3845146434482262</v>
                </pt>
                <pt idx="90">
                  <v>0.382912437722298</v>
                </pt>
                <pt idx="91">
                  <v>0.3816104084786475</v>
                </pt>
                <pt idx="92">
                  <v>0.3811062150067502</v>
                </pt>
                <pt idx="93">
                  <v>0.3799042635937816</v>
                </pt>
                <pt idx="94">
                  <v>0.3780019462452543</v>
                </pt>
                <pt idx="95">
                  <v>0.3765999074851377</v>
                </pt>
                <pt idx="96">
                  <v>0.3763985115437594</v>
                </pt>
                <pt idx="97">
                  <v>0.3766947976522105</v>
                </pt>
                <pt idx="98">
                  <v>0.3753928387870482</v>
                </pt>
                <pt idx="99">
                  <v>0.374691195164656</v>
                </pt>
                <pt idx="100">
                  <v>0.3702876800570152</v>
                </pt>
                <pt idx="101">
                  <v>0.3646835907117625</v>
                </pt>
                <pt idx="102">
                  <v>0.3615758348237842</v>
                </pt>
                <pt idx="103">
                  <v>0.3676775429231238</v>
                </pt>
                <pt idx="104">
                  <v>0.3620735969300349</v>
                </pt>
                <pt idx="105">
                  <v>0.3636706262869908</v>
                </pt>
                <pt idx="106">
                  <v>0.3576665844365869</v>
                </pt>
                <pt idx="107">
                  <v>0.3609668853750878</v>
                </pt>
                <pt idx="108">
                  <v>0.3648674391672891</v>
                </pt>
                <pt idx="109">
                  <v>0.3679676016815879</v>
                </pt>
                <pt idx="110">
                  <v>0.3679638195086854</v>
                </pt>
                <pt idx="111">
                  <v>0.3630603931188778</v>
                </pt>
                <pt idx="112">
                  <v>0.3623588422322114</v>
                </pt>
                <pt idx="113">
                  <v>0.3639582969305143</v>
                </pt>
                <pt idx="114">
                  <v>0.3576543302932087</v>
                </pt>
                <pt idx="115">
                  <v>0.3571504435087383</v>
                </pt>
                <pt idx="116">
                  <v>0.3515468791755459</v>
                </pt>
                <pt idx="117">
                  <v>0.3352389174966339</v>
                </pt>
                <pt idx="118">
                  <v>0.3352377689461422</v>
                </pt>
                <pt idx="119">
                  <v>0.344040208167027</v>
                </pt>
                <pt idx="120">
                  <v>0.3497389373860849</v>
                </pt>
                <pt idx="121">
                  <v>0.3541394727375508</v>
                </pt>
                <pt idx="122">
                  <v>0.358139821711216</v>
                </pt>
                <pt idx="123">
                  <v>0.358338672157376</v>
                </pt>
                <pt idx="124">
                  <v>0.3593378282080798</v>
                </pt>
                <pt idx="125">
                  <v>0.3642359647950776</v>
                </pt>
                <pt idx="126">
                  <v>0.3601331999506667</v>
                </pt>
                <pt idx="127">
                  <v>0.3534282993141346</v>
                </pt>
                <pt idx="128">
                  <v>0.3533270525360147</v>
                </pt>
                <pt idx="129">
                  <v>0.346821149853716</v>
                </pt>
                <pt idx="130">
                  <v>0.3430186468607292</v>
                </pt>
                <pt idx="131">
                  <v>0.3406166495375128</v>
                </pt>
                <pt idx="132">
                  <v>0.3486134187492506</v>
                </pt>
                <pt idx="133">
                  <v>0.3464115160359842</v>
                </pt>
                <pt idx="134">
                  <v>0.3458101381604415</v>
                </pt>
                <pt idx="135">
                  <v>0.3440083862038725</v>
                </pt>
                <pt idx="136">
                  <v>0.341906553069621</v>
                </pt>
                <pt idx="137">
                  <v>0.346604456137466</v>
                </pt>
                <pt idx="138">
                  <v>0.3483037754399427</v>
                </pt>
                <pt idx="139">
                  <v>0.3458018457490905</v>
                </pt>
                <pt idx="140">
                  <v>0.3425997293732765</v>
                </pt>
                <pt idx="141">
                  <v>0.3420984118719084</v>
                </pt>
                <pt idx="142">
                  <v>0.3437953678931484</v>
                </pt>
                <pt idx="143">
                  <v>0.3426938887366401</v>
                </pt>
                <pt idx="144">
                  <v>0.3435929583688738</v>
                </pt>
                <pt idx="145">
                  <v>0.3437918348051877</v>
                </pt>
                <pt idx="146">
                  <v>0.3422902614730597</v>
                </pt>
                <pt idx="147">
                  <v>0.3487883915786877</v>
                </pt>
                <pt idx="148">
                  <v>0.3525881470367592</v>
                </pt>
                <pt idx="149">
                  <v>0.3535871858814502</v>
                </pt>
                <pt idx="150">
                  <v>0.3523856828201378</v>
                </pt>
                <pt idx="151">
                  <v>0.3516843078820265</v>
                </pt>
                <pt idx="152">
                  <v>0.3518807397587803</v>
                </pt>
                <pt idx="153">
                  <v>0.3512793987682147</v>
                </pt>
                <pt idx="154">
                  <v>0.3504780173668796</v>
                </pt>
                <pt idx="155">
                  <v>0.3477762249260112</v>
                </pt>
                <pt idx="156">
                  <v>0.3430740193945954</v>
                </pt>
                <pt idx="157">
                  <v>0.3440706994587929</v>
                </pt>
                <pt idx="158">
                  <v>0.3382683487416978</v>
                </pt>
                <pt idx="159">
                  <v>0.3411677662001356</v>
                </pt>
                <pt idx="160">
                  <v>0.3422668123572067</v>
                </pt>
                <pt idx="161">
                  <v>0.3509673087989478</v>
                </pt>
                <pt idx="162">
                  <v>0.3570648097086115</v>
                </pt>
                <pt idx="163">
                  <v>0.3570635866661186</v>
                </pt>
                <pt idx="164">
                  <v>0.3507612630973218</v>
                </pt>
                <pt idx="165">
                  <v>0.3478595649940058</v>
                </pt>
                <pt idx="166">
                  <v>0.3440577357159249</v>
                </pt>
                <pt idx="167">
                  <v>0.354553425858691</v>
                </pt>
                <pt idx="168">
                  <v>0.3566525207479183</v>
                </pt>
                <pt idx="169">
                  <v>0.353550853204913</v>
                </pt>
                <pt idx="170">
                  <v>0.3530471535581807</v>
                </pt>
                <pt idx="171">
                  <v>0.3560463347969942</v>
                </pt>
                <pt idx="172">
                  <v>0.3630460024044142</v>
                </pt>
                <pt idx="173">
                  <v>0.360544450685701</v>
                </pt>
                <pt idx="174">
                  <v>0.3585429760416489</v>
                </pt>
                <pt idx="175">
                  <v>0.3650400043840421</v>
                </pt>
                <pt idx="176">
                  <v>0.370239306227716</v>
                </pt>
                <pt idx="177">
                  <v>0.3765386854813851</v>
                </pt>
                <pt idx="178">
                  <v>0.3797377136770432</v>
                </pt>
                <pt idx="179">
                  <v>0.3830367295494088</v>
                </pt>
                <pt idx="180">
                  <v>0.3830327939035876</v>
                </pt>
                <pt idx="181">
                  <v>0.3806312847631312</v>
                </pt>
                <pt idx="182">
                  <v>0.3796299023553225</v>
                </pt>
                <pt idx="183">
                  <v>0.3753282781579434</v>
                </pt>
                <pt idx="184">
                  <v>0.3730268272718243</v>
                </pt>
                <pt idx="185">
                  <v>0.3665213385710812</v>
                </pt>
                <pt idx="186">
                  <v>0.3654200230149597</v>
                </pt>
                <pt idx="187">
                  <v>0.3600184941007243</v>
                </pt>
                <pt idx="188">
                  <v>0.3499167768317659</v>
                </pt>
                <pt idx="189">
                  <v>0.3485131289192401</v>
                </pt>
                <pt idx="190">
                  <v>0.3415116956060139</v>
                </pt>
                <pt idx="191">
                  <v>0.3393104581990541</v>
                </pt>
                <pt idx="192">
                  <v>0.3380092605276857</v>
                </pt>
                <pt idx="193">
                  <v>0.3406081652642358</v>
                </pt>
                <pt idx="194">
                  <v>0.3380046302004137</v>
                </pt>
                <pt idx="195">
                  <v>0.3377034695561941</v>
                </pt>
                <pt idx="196">
                  <v>0.3376023123446051</v>
                </pt>
                <pt idx="197">
                  <v>0.3386011595930123</v>
                </pt>
                <pt idx="198">
                  <v>0.3428964770909888</v>
                </pt>
                <pt idx="199">
                  <v>0.3474952397912358</v>
                </pt>
                <pt idx="200">
                  <v>0.3508939915412408</v>
                </pt>
                <pt idx="201">
                  <v>0.3528927487791347</v>
                </pt>
                <pt idx="202">
                  <v>0.3556914731496163</v>
                </pt>
                <pt idx="203">
                  <v>0.3583877264477244</v>
                </pt>
                <pt idx="204">
                  <v>0.3618863672943827</v>
                </pt>
                <pt idx="205">
                  <v>0.3631850745859759</v>
                </pt>
                <pt idx="206">
                  <v>0.3629838397605586</v>
                </pt>
                <pt idx="207">
                  <v>0.3627826063133959</v>
                </pt>
                <pt idx="208">
                  <v>0.3621789142412942</v>
                </pt>
                <pt idx="209">
                  <v>0.3611777356190372</v>
                </pt>
                <pt idx="210">
                  <v>0.3600765703601478</v>
                </pt>
                <pt idx="211">
                  <v>0.3590754057941237</v>
                </pt>
                <pt idx="212">
                  <v>0.3586742049373161</v>
                </pt>
                <pt idx="213">
                  <v>0.357771819342997</v>
                </pt>
                <pt idx="214">
                  <v>0.3558707503492864</v>
                </pt>
                <pt idx="215">
                  <v>0.3540696858145707</v>
                </pt>
                <pt idx="216">
                  <v>0.3518686692280824</v>
                </pt>
                <pt idx="217">
                  <v>0.3496676677156564</v>
                </pt>
                <pt idx="218">
                  <v>0.3509627402570275</v>
                </pt>
                <pt idx="219">
                  <v>0.3534612645189568</v>
                </pt>
                <pt idx="220">
                  <v>0.3552598507702897</v>
                </pt>
                <pt idx="221">
                  <v>0.3567584596314128</v>
                </pt>
                <pt idx="222">
                  <v>0.3511579091547246</v>
                </pt>
                <pt idx="223">
                  <v>0.352652899099093</v>
                </pt>
                <pt idx="224">
                  <v>0.3510519106971648</v>
                </pt>
                <pt idx="225">
                  <v>0.3525504980465071</v>
                </pt>
                <pt idx="226">
                  <v>0.3526492764739318</v>
                </pt>
                <pt idx="227">
                  <v>0.3525456693317811</v>
                </pt>
                <pt idx="228">
                  <v>0.3538442574115037</v>
                </pt>
                <pt idx="229">
                  <v>0.3536430779977195</v>
                </pt>
                <pt idx="230">
                  <v>0.3541417849120693</v>
                </pt>
                <pt idx="231">
                  <v>0.3562402199630884</v>
                </pt>
                <pt idx="232">
                  <v>0.3600358840206538</v>
                </pt>
                <pt idx="233">
                  <v>0.3630341068230766</v>
                </pt>
                <pt idx="234">
                  <v>0.3687318098707774</v>
                </pt>
                <pt idx="235">
                  <v>0.3745294550683946</v>
                </pt>
                <pt idx="236">
                  <v>0.3761278658887336</v>
                </pt>
                <pt idx="237">
                  <v>0.3775237195224252</v>
                </pt>
                <pt idx="238">
                  <v>0.3784222420050675</v>
                </pt>
                <pt idx="239">
                  <v>0.3778210716254481</v>
                </pt>
                <pt idx="240">
                  <v>0.3773198841341907</v>
                </pt>
                <pt idx="241">
                  <v>0.3767187216456723</v>
                </pt>
                <pt idx="242">
                  <v>0.3842131573000623</v>
                </pt>
                <pt idx="243">
                  <v>0.3826122088424916</v>
                </pt>
                <pt idx="244">
                  <v>0.3815111549365216</v>
                </pt>
                <pt idx="245">
                  <v>0.381709801451027</v>
                </pt>
                <pt idx="246">
                  <v>0.3809086862738385</v>
                </pt>
                <pt idx="247">
                  <v>0.3787053236690828</v>
                </pt>
                <pt idx="248">
                  <v>0.3775043310941747</v>
                </pt>
                <pt idx="249">
                  <v>0.3768032183514508</v>
                </pt>
                <pt idx="250">
                  <v>0.3763020583683699</v>
                </pt>
                <pt idx="251">
                  <v>0.3735015081639431</v>
                </pt>
                <pt idx="252">
                  <v>0.3718981101068201</v>
                </pt>
                <pt idx="253">
                  <v>0.3710970586926229</v>
                </pt>
                <pt idx="254">
                  <v>0.3721954793516889</v>
                </pt>
                <pt idx="255">
                  <v>0.3710945176542284</v>
                </pt>
                <pt idx="256">
                  <v>0.3696936497719834</v>
                </pt>
                <pt idx="257">
                  <v>0.368590180322986</v>
                </pt>
                <pt idx="258">
                  <v>0.3667894607104708</v>
                </pt>
                <pt idx="259">
                  <v>0.3636891495400375</v>
                </pt>
                <pt idx="260">
                  <v>0.3637878736006026</v>
                </pt>
                <pt idx="261">
                  <v>0.3615823619028056</v>
                </pt>
                <pt idx="262">
                  <v>0.3609813212094654</v>
                </pt>
                <pt idx="263">
                  <v>0.3605802182151819</v>
                </pt>
                <pt idx="264">
                  <v>0.3595793192695602</v>
                </pt>
                <pt idx="265">
                  <v>0.358376041163844</v>
                </pt>
              </numCache>
            </numRef>
          </val>
          <smooth val="0"/>
        </ser>
        <ser>
          <idx val="4"/>
          <order val="4"/>
          <tx>
            <strRef>
              <f>'Grafico Paridades bkp'!$F$1:$F$2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bkp'!$A$3:$A$270</f>
              <strCache>
                <ptCount val="267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</strCache>
            </strRef>
          </cat>
          <val>
            <numRef>
              <f>'Grafico Paridades bkp'!$F$3:$F$270</f>
              <numCache>
                <formatCode>0.00%</formatCode>
                <ptCount val="267"/>
                <pt idx="0">
                  <v>0.4403493976729677</v>
                </pt>
                <pt idx="1">
                  <v>0.4314388264776159</v>
                </pt>
                <pt idx="2">
                  <v>0.4104160381756849</v>
                </pt>
                <pt idx="3">
                  <v>0.400404518263314</v>
                </pt>
                <pt idx="4">
                  <v>0.4004031456329318</v>
                </pt>
                <pt idx="5">
                  <v>0.3863850618253122</v>
                </pt>
                <pt idx="6">
                  <v>0.3778752871002022</v>
                </pt>
                <pt idx="7">
                  <v>0.3858819173771301</v>
                </pt>
                <pt idx="8">
                  <v>0.3948894800351032</v>
                </pt>
                <pt idx="9">
                  <v>0.4003935374837597</v>
                </pt>
                <pt idx="10">
                  <v>0.3953845520986164</v>
                </pt>
                <pt idx="11">
                  <v>0.3907787341841579</v>
                </pt>
                <pt idx="12">
                  <v>0.3905772012697194</v>
                </pt>
                <pt idx="13">
                  <v>0.3983833757828595</v>
                </pt>
                <pt idx="14">
                  <v>0.4003839297956945</v>
                </pt>
                <pt idx="15">
                  <v>0.400379812356242</v>
                </pt>
                <pt idx="16">
                  <v>0.4002783452852697</v>
                </pt>
                <pt idx="17">
                  <v>0.399376124775045</v>
                </pt>
                <pt idx="18">
                  <v>0.3953709988139555</v>
                </pt>
                <pt idx="19">
                  <v>0.3953696435365942</v>
                </pt>
                <pt idx="20">
                  <v>0.3928619173142381</v>
                </pt>
                <pt idx="21">
                  <v>0.3823509248214115</v>
                </pt>
                <pt idx="22">
                  <v>0.3653340554548166</v>
                </pt>
                <pt idx="23">
                  <v>0.3583264206434629</v>
                </pt>
                <pt idx="24">
                  <v>0.3583227358888313</v>
                </pt>
                <pt idx="25">
                  <v>0.3483125269933982</v>
                </pt>
                <pt idx="26">
                  <v>0.3398037286752886</v>
                </pt>
                <pt idx="27">
                  <v>0.3463083567560156</v>
                </pt>
                <pt idx="28">
                  <v>0.3418031747337535</v>
                </pt>
                <pt idx="29">
                  <v>0.3342930788636613</v>
                </pt>
                <pt idx="30">
                  <v>0.3402971773295172</v>
                </pt>
                <pt idx="31">
                  <v>0.3381941826109012</v>
                </pt>
                <pt idx="32">
                  <v>0.3367918093416556</v>
                </pt>
                <pt idx="33">
                  <v>0.3352893593100895</v>
                </pt>
                <pt idx="34">
                  <v>0.3362867650839243</v>
                </pt>
                <pt idx="35">
                  <v>0.3404891825934355</v>
                </pt>
                <pt idx="36">
                  <v>0.3402878462260885</v>
                </pt>
                <pt idx="37">
                  <v>0.346391823248353</v>
                </pt>
                <pt idx="38">
                  <v>0.3461904680296825</v>
                </pt>
                <pt idx="39">
                  <v>0.3477882354554117</v>
                </pt>
                <pt idx="40">
                  <v>0.3522907605249538</v>
                </pt>
                <pt idx="41">
                  <v>0.3541911159857417</v>
                </pt>
                <pt idx="42">
                  <v>0.3567920318342753</v>
                </pt>
                <pt idx="43">
                  <v>0.3591927667071106</v>
                </pt>
                <pt idx="44">
                  <v>0.3620914091820472</v>
                </pt>
                <pt idx="45">
                  <v>0.3582871205006752</v>
                </pt>
                <pt idx="46">
                  <v>0.3567846946364736</v>
                </pt>
                <pt idx="47">
                  <v>0.3527802911902608</v>
                </pt>
                <pt idx="48">
                  <v>0.3522786862209488</v>
                </pt>
                <pt idx="49">
                  <v>0.350272300726935</v>
                </pt>
                <pt idx="50">
                  <v>0.3542656992744558</v>
                </pt>
                <pt idx="51">
                  <v>0.3492691286093736</v>
                </pt>
                <pt idx="52">
                  <v>0.3502686992761571</v>
                </pt>
                <pt idx="53">
                  <v>0.3502650978994376</v>
                </pt>
                <pt idx="54">
                  <v>0.3462608814860512</v>
                </pt>
                <pt idx="55">
                  <v>0.3472604453340005</v>
                </pt>
                <pt idx="56">
                  <v>0.3472592551973734</v>
                </pt>
                <pt idx="57">
                  <v>0.3449563545511561</v>
                </pt>
                <pt idx="58">
                  <v>0.3449504434726582</v>
                </pt>
                <pt idx="59">
                  <v>0.34775128603203</v>
                </pt>
                <pt idx="60">
                  <v>0.3494513177285034</v>
                </pt>
                <pt idx="61">
                  <v>0.3482468736398748</v>
                </pt>
                <pt idx="62">
                  <v>0.3482456801716279</v>
                </pt>
                <pt idx="63">
                  <v>0.3482444867115612</v>
                </pt>
                <pt idx="64">
                  <v>0.3507450410560802</v>
                </pt>
                <pt idx="65">
                  <v>0.3552469696398524</v>
                </pt>
                <pt idx="66">
                  <v>0.355743660041124</v>
                </pt>
                <pt idx="67">
                  <v>0.3597451687965429</v>
                </pt>
                <pt idx="68">
                  <v>0.3572422396008252</v>
                </pt>
                <pt idx="69">
                  <v>0.3572361183933216</v>
                </pt>
                <pt idx="70">
                  <v>0.3577352231604343</v>
                </pt>
                <pt idx="71">
                  <v>0.359234979044512</v>
                </pt>
                <pt idx="72">
                  <v>0.3482218125244162</v>
                </pt>
                <pt idx="73">
                  <v>0.3452187173380395</v>
                </pt>
                <pt idx="74">
                  <v>0.3462181648710146</v>
                </pt>
                <pt idx="75">
                  <v>0.348718546212181</v>
                </pt>
                <pt idx="76">
                  <v>0.3462157920347614</v>
                </pt>
                <pt idx="77">
                  <v>0.3452116194516501</v>
                </pt>
                <pt idx="78">
                  <v>0.3472116564206948</v>
                </pt>
                <pt idx="79">
                  <v>0.3427077372242763</v>
                </pt>
                <pt idx="80">
                  <v>0.3382038488952245</v>
                </pt>
                <pt idx="81">
                  <v>0.3367017904566093</v>
                </pt>
                <pt idx="82">
                  <v>0.3381992132351933</v>
                </pt>
                <pt idx="83">
                  <v>0.3386983473198346</v>
                </pt>
                <pt idx="84">
                  <v>0.33889730322448</v>
                </pt>
                <pt idx="85">
                  <v>0.3341934201644102</v>
                </pt>
                <pt idx="86">
                  <v>0.3371940020285644</v>
                </pt>
                <pt idx="87">
                  <v>0.3361899703599637</v>
                </pt>
                <pt idx="88">
                  <v>0.3361888183774449</v>
                </pt>
                <pt idx="89">
                  <v>0.339089286142607</v>
                </pt>
                <pt idx="90">
                  <v>0.3371870695385796</v>
                </pt>
                <pt idx="91">
                  <v>0.3350847556358129</v>
                </pt>
                <pt idx="92">
                  <v>0.3361819066481178</v>
                </pt>
                <pt idx="93">
                  <v>0.3356804857406208</v>
                </pt>
                <pt idx="94">
                  <v>0.3336782664711284</v>
                </pt>
                <pt idx="95">
                  <v>0.3370789288834826</v>
                </pt>
                <pt idx="96">
                  <v>0.3376780904997841</v>
                </pt>
                <pt idx="97">
                  <v>0.3371743607139309</v>
                </pt>
                <pt idx="98">
                  <v>0.3369731026212095</v>
                </pt>
                <pt idx="99">
                  <v>0.3344706716783564</v>
                </pt>
                <pt idx="100">
                  <v>0.3352699313350602</v>
                </pt>
                <pt idx="101">
                  <v>0.3341682285260045</v>
                </pt>
                <pt idx="102">
                  <v>0.3286598277244414</v>
                </pt>
                <pt idx="103">
                  <v>0.3287587499443224</v>
                </pt>
                <pt idx="104">
                  <v>0.3301582950729802</v>
                </pt>
                <pt idx="105">
                  <v>0.3275536810078701</v>
                </pt>
                <pt idx="106">
                  <v>0.327552558725982</v>
                </pt>
                <pt idx="107">
                  <v>0.3311531016051942</v>
                </pt>
                <pt idx="108">
                  <v>0.3321524261133534</v>
                </pt>
                <pt idx="109">
                  <v>0.3311508323996889</v>
                </pt>
                <pt idx="110">
                  <v>0.332147874053517</v>
                </pt>
                <pt idx="111">
                  <v>0.3226425372853076</v>
                </pt>
                <pt idx="112">
                  <v>0.3205405109088916</v>
                </pt>
                <pt idx="113">
                  <v>0.3231405440037276</v>
                </pt>
                <pt idx="114">
                  <v>0.3227392642030465</v>
                </pt>
                <pt idx="115">
                  <v>0.3201348513243593</v>
                </pt>
                <pt idx="116">
                  <v>0.3199336709173011</v>
                </pt>
                <pt idx="117">
                  <v>0.3143302532898907</v>
                </pt>
                <pt idx="118">
                  <v>0.3151295052761409</v>
                </pt>
                <pt idx="119">
                  <v>0.3251325026294963</v>
                </pt>
                <pt idx="120">
                  <v>0.3346329363719834</v>
                </pt>
                <pt idx="121">
                  <v>0.3350319475135756</v>
                </pt>
                <pt idx="122">
                  <v>0.3376318151607134</v>
                </pt>
                <pt idx="123">
                  <v>0.3396314327119742</v>
                </pt>
                <pt idx="124">
                  <v>0.3426314202707888</v>
                </pt>
                <pt idx="125">
                  <v>0.3486301393328332</v>
                </pt>
                <pt idx="126">
                  <v>0.3526304249516944</v>
                </pt>
                <pt idx="127">
                  <v>0.3461256483517989</v>
                </pt>
                <pt idx="128">
                  <v>0.3436235632676133</v>
                </pt>
                <pt idx="129">
                  <v>0.3381181097506663</v>
                </pt>
                <pt idx="130">
                  <v>0.3391172974213683</v>
                </pt>
                <pt idx="131">
                  <v>0.3356149366221308</v>
                </pt>
                <pt idx="132">
                  <v>0.3326082115756839</v>
                </pt>
                <pt idx="133">
                  <v>0.3301062670859797</v>
                </pt>
                <pt idx="134">
                  <v>0.3321057734141353</v>
                </pt>
                <pt idx="135">
                  <v>0.331104320539348</v>
                </pt>
                <pt idx="136">
                  <v>0.3314032797892494</v>
                </pt>
                <pt idx="137">
                  <v>0.3351009893392529</v>
                </pt>
                <pt idx="138">
                  <v>0.3350998413910994</v>
                </pt>
                <pt idx="139">
                  <v>0.3348986345293476</v>
                </pt>
                <pt idx="140">
                  <v>0.3310963807957796</v>
                </pt>
                <pt idx="141">
                  <v>0.3315953904547884</v>
                </pt>
                <pt idx="142">
                  <v>0.3315919827075319</v>
                </pt>
                <pt idx="143">
                  <v>0.330090435735818</v>
                </pt>
                <pt idx="144">
                  <v>0.3300893049831975</v>
                </pt>
                <pt idx="145">
                  <v>0.3345893766143011</v>
                </pt>
                <pt idx="146">
                  <v>0.3280865159648263</v>
                </pt>
                <pt idx="147">
                  <v>0.3280831443585018</v>
                </pt>
                <pt idx="148">
                  <v>0.3295823955988997</v>
                </pt>
                <pt idx="149">
                  <v>0.3315817598859992</v>
                </pt>
                <pt idx="150">
                  <v>0.3275796512165629</v>
                </pt>
                <pt idx="151">
                  <v>0.3295790086664612</v>
                </pt>
                <pt idx="152">
                  <v>0.3255747037847725</v>
                </pt>
                <pt idx="153">
                  <v>0.328374221570629</v>
                </pt>
                <pt idx="154">
                  <v>0.3280730299552982</v>
                </pt>
                <pt idx="155">
                  <v>0.3249712265702072</v>
                </pt>
                <pt idx="156">
                  <v>0.3230697033949105</v>
                </pt>
                <pt idx="157">
                  <v>0.3225662807426183</v>
                </pt>
                <pt idx="158">
                  <v>0.3200646706012516</v>
                </pt>
                <pt idx="159">
                  <v>0.3225640709455988</v>
                </pt>
                <pt idx="160">
                  <v>0.3221628879610061</v>
                </pt>
                <pt idx="161">
                  <v>0.330563395719727</v>
                </pt>
                <pt idx="162">
                  <v>0.3379613422984309</v>
                </pt>
                <pt idx="163">
                  <v>0.3350596681600833</v>
                </pt>
                <pt idx="164">
                  <v>0.3360586951830628</v>
                </pt>
                <pt idx="165">
                  <v>0.3300565165268025</v>
                </pt>
                <pt idx="166">
                  <v>0.3336559902175365</v>
                </pt>
                <pt idx="167">
                  <v>0.3470522955513845</v>
                </pt>
                <pt idx="168">
                  <v>0.352551916891871</v>
                </pt>
                <pt idx="169">
                  <v>0.3460497742826023</v>
                </pt>
                <pt idx="170">
                  <v>0.3440459513428163</v>
                </pt>
                <pt idx="171">
                  <v>0.3490454237195251</v>
                </pt>
                <pt idx="172">
                  <v>0.3536448111575782</v>
                </pt>
                <pt idx="173">
                  <v>0.3450425394911701</v>
                </pt>
                <pt idx="174">
                  <v>0.3461414895621051</v>
                </pt>
                <pt idx="175">
                  <v>0.3535387439719421</v>
                </pt>
                <pt idx="176">
                  <v>0.3590381170603728</v>
                </pt>
                <pt idx="177">
                  <v>0.364037401102853</v>
                </pt>
                <pt idx="178">
                  <v>0.3700367502251936</v>
                </pt>
                <pt idx="179">
                  <v>0.377036154151768</v>
                </pt>
                <pt idx="180">
                  <v>0.3800325370322802</v>
                </pt>
                <pt idx="181">
                  <v>0.3828314655999123</v>
                </pt>
                <pt idx="182">
                  <v>0.3720293036780294</v>
                </pt>
                <pt idx="183">
                  <v>0.3700278788127873</v>
                </pt>
                <pt idx="184">
                  <v>0.3690265395799013</v>
                </pt>
                <pt idx="185">
                  <v>0.3620210765695263</v>
                </pt>
                <pt idx="186">
                  <v>0.3600197271083347</v>
                </pt>
                <pt idx="187">
                  <v>0.3575183656694693</v>
                </pt>
                <pt idx="188">
                  <v>0.3475166617577555</v>
                </pt>
                <pt idx="189">
                  <v>0.3450129970649579</v>
                </pt>
                <pt idx="190">
                  <v>0.3410116784821398</v>
                </pt>
                <pt idx="191">
                  <v>0.3390104489521937</v>
                </pt>
                <pt idx="192">
                  <v>0.3435094112167457</v>
                </pt>
                <pt idx="193">
                  <v>0.3475083306791601</v>
                </pt>
                <pt idx="194">
                  <v>0.3490047808874094</v>
                </pt>
                <pt idx="195">
                  <v>0.3460035548310428</v>
                </pt>
                <pt idx="196">
                  <v>0.3470023767286077</v>
                </pt>
                <pt idx="197">
                  <v>0.3505012003465765</v>
                </pt>
                <pt idx="198">
                  <v>0.3524963784618651</v>
                </pt>
                <pt idx="199">
                  <v>0.3599950685607046</v>
                </pt>
                <pt idx="200">
                  <v>0.3627937877776066</v>
                </pt>
                <pt idx="201">
                  <v>0.3634925309753909</v>
                </pt>
                <pt idx="202">
                  <v>0.3674911902796851</v>
                </pt>
                <pt idx="203">
                  <v>0.365987466182665</v>
                </pt>
                <pt idx="204">
                  <v>0.3759858361500081</v>
                </pt>
                <pt idx="205">
                  <v>0.3784844458446913</v>
                </pt>
                <pt idx="206">
                  <v>0.3820829894559489</v>
                </pt>
                <pt idx="207">
                  <v>0.3849815419808639</v>
                </pt>
                <pt idx="208">
                  <v>0.3829777033528869</v>
                </pt>
                <pt idx="209">
                  <v>0.3829763918662548</v>
                </pt>
                <pt idx="210">
                  <v>0.3799752755813834</v>
                </pt>
                <pt idx="211">
                  <v>0.3814738716526265</v>
                </pt>
                <pt idx="212">
                  <v>0.380972601285524</v>
                </pt>
                <pt idx="213">
                  <v>0.3804700314701239</v>
                </pt>
                <pt idx="214">
                  <v>0.3789688518751883</v>
                </pt>
                <pt idx="215">
                  <v>0.3759678109750877</v>
                </pt>
                <pt idx="216">
                  <v>0.3714669241779842</v>
                </pt>
                <pt idx="217">
                  <v>0.3699657908344092</v>
                </pt>
                <pt idx="218">
                  <v>0.3707606384253727</v>
                </pt>
                <pt idx="219">
                  <v>0.3749589086127548</v>
                </pt>
                <pt idx="220">
                  <v>0.3754575681515445</v>
                </pt>
                <pt idx="221">
                  <v>0.378955875000856</v>
                </pt>
                <pt idx="222">
                  <v>0.3739551766055438</v>
                </pt>
                <pt idx="223">
                  <v>0.3639513900540681</v>
                </pt>
                <pt idx="224">
                  <v>0.366549787700315</v>
                </pt>
                <pt idx="225">
                  <v>0.3669484764125586</v>
                </pt>
                <pt idx="226">
                  <v>0.3659473637353531</v>
                </pt>
                <pt idx="227">
                  <v>0.369942988238114</v>
                </pt>
                <pt idx="228">
                  <v>0.371441485245475</v>
                </pt>
                <pt idx="229">
                  <v>0.3714402133903105</v>
                </pt>
                <pt idx="230">
                  <v>0.3709390237221279</v>
                </pt>
                <pt idx="231">
                  <v>0.3737372838119631</v>
                </pt>
                <pt idx="232">
                  <v>0.3819319847150508</v>
                </pt>
                <pt idx="233">
                  <v>0.383930314018346</v>
                </pt>
                <pt idx="234">
                  <v>0.3859286296369849</v>
                </pt>
                <pt idx="235">
                  <v>0.3919261782883361</v>
                </pt>
                <pt idx="236">
                  <v>0.3924247404607336</v>
                </pt>
                <pt idx="237">
                  <v>0.3934205075001969</v>
                </pt>
                <pt idx="238">
                  <v>0.3939190577278641</v>
                </pt>
                <pt idx="239">
                  <v>0.3904184399834281</v>
                </pt>
                <pt idx="240">
                  <v>0.3879176339270429</v>
                </pt>
                <pt idx="241">
                  <v>0.3894159821682309</v>
                </pt>
                <pt idx="242">
                  <v>0.3949107393534338</v>
                </pt>
                <pt idx="243">
                  <v>0.3939096166290611</v>
                </pt>
                <pt idx="244">
                  <v>0.3929085007600969</v>
                </pt>
                <pt idx="245">
                  <v>0.3924072736236985</v>
                </pt>
                <pt idx="246">
                  <v>0.3914061697538261</v>
                </pt>
                <pt idx="247">
                  <v>0.3849037740564859</v>
                </pt>
                <pt idx="248">
                  <v>0.3849024562268466</v>
                </pt>
                <pt idx="249">
                  <v>0.3819019087563126</v>
                </pt>
                <pt idx="250">
                  <v>0.3789013818321258</v>
                </pt>
                <pt idx="251">
                  <v>0.3793999527521852</v>
                </pt>
                <pt idx="252">
                  <v>0.3738975623116954</v>
                </pt>
                <pt idx="253">
                  <v>0.3788948955940304</v>
                </pt>
                <pt idx="254">
                  <v>0.3778938791161386</v>
                </pt>
                <pt idx="255">
                  <v>0.3748934378241801</v>
                </pt>
                <pt idx="256">
                  <v>0.3708933046657811</v>
                </pt>
                <pt idx="257">
                  <v>0.3708894952531266</v>
                </pt>
                <pt idx="258">
                  <v>0.3736873818849114</v>
                </pt>
                <pt idx="259">
                  <v>0.3688875650914618</v>
                </pt>
                <pt idx="260">
                  <v>0.3678866102913485</v>
                </pt>
                <pt idx="261">
                  <v>0.3687800201989079</v>
                </pt>
                <pt idx="262">
                  <v>0.3658797107800175</v>
                </pt>
                <pt idx="263">
                  <v>0.3708767977760812</v>
                </pt>
                <pt idx="264">
                  <v>0.3718751925723559</v>
                </pt>
                <pt idx="265">
                  <v>0.3638741394243772</v>
                </pt>
              </numCache>
            </numRef>
          </val>
          <smooth val="0"/>
        </ser>
        <ser>
          <idx val="5"/>
          <order val="5"/>
          <tx>
            <strRef>
              <f>'Grafico Paridades bkp'!$G$1:$G$2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bkp'!$A$3:$A$270</f>
              <strCache>
                <ptCount val="267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</strCache>
            </strRef>
          </cat>
          <val>
            <numRef>
              <f>'Grafico Paridades bkp'!$G$3:$G$270</f>
              <numCache>
                <formatCode>0.00%</formatCode>
                <ptCount val="267"/>
                <pt idx="0">
                  <v>0.4999794528991959</v>
                </pt>
                <pt idx="1">
                  <v>0.4999777407170229</v>
                </pt>
                <pt idx="2">
                  <v>0.4809769394618066</v>
                </pt>
                <pt idx="3">
                  <v>0.4624762426587675</v>
                </pt>
                <pt idx="4">
                  <v>0.4688743082570818</v>
                </pt>
                <pt idx="5">
                  <v>0.4574702331012708</v>
                </pt>
                <pt idx="6">
                  <v>0.4532689541812204</v>
                </pt>
                <pt idx="7">
                  <v>0.4629667044493375</v>
                </pt>
                <pt idx="8">
                  <v>0.4569655710871099</v>
                </pt>
                <pt idx="9">
                  <v>0.4528643291795509</v>
                </pt>
                <pt idx="10">
                  <v>0.4484600686240267</v>
                </pt>
                <pt idx="11">
                  <v>0.4446588842812479</v>
                </pt>
                <pt idx="12">
                  <v>0.4470571315079376</v>
                </pt>
                <pt idx="13">
                  <v>0.4439559084885405</v>
                </pt>
                <pt idx="14">
                  <v>0.4398548094373866</v>
                </pt>
                <pt idx="15">
                  <v>0.4344509010967939</v>
                </pt>
                <pt idx="16">
                  <v>0.4399487730880651</v>
                </pt>
                <pt idx="17">
                  <v>0.4449466673515161</v>
                </pt>
                <pt idx="18">
                  <v>0.447944773931981</v>
                </pt>
                <pt idx="19">
                  <v>0.4501429613370909</v>
                </pt>
                <pt idx="20">
                  <v>0.4500368098999798</v>
                </pt>
                <pt idx="21">
                  <v>0.4549345642065182</v>
                </pt>
                <pt idx="22">
                  <v>0.4449344788267481</v>
                </pt>
                <pt idx="23">
                  <v>0.4429332566325622</v>
                </pt>
                <pt idx="24">
                  <v>0.4379295113457765</v>
                </pt>
                <pt idx="25">
                  <v>0.4169314633210979</v>
                </pt>
                <pt idx="26">
                  <v>0.4054319651839246</v>
                </pt>
                <pt idx="27">
                  <v>0.4149289505221709</v>
                </pt>
                <pt idx="28">
                  <v>0.4249257835104143</v>
                </pt>
                <pt idx="29">
                  <v>0.4049251165880283</v>
                </pt>
                <pt idx="30">
                  <v>0.4049237301193269</v>
                </pt>
                <pt idx="31">
                  <v>0.40492234366012</v>
                </pt>
                <pt idx="32">
                  <v>0.3957227527503193</v>
                </pt>
                <pt idx="33">
                  <v>0.3984208616096803</v>
                </pt>
                <pt idx="34">
                  <v>0.4046154741646437</v>
                </pt>
                <pt idx="35">
                  <v>0.411412645260253</v>
                </pt>
                <pt idx="36">
                  <v>0.4091117327425932</v>
                </pt>
                <pt idx="37">
                  <v>0.4064109236331763</v>
                </pt>
                <pt idx="38">
                  <v>0.4049098659544964</v>
                </pt>
                <pt idx="39">
                  <v>0.4163030527137516</v>
                </pt>
                <pt idx="40">
                  <v>0.4149019580989424</v>
                </pt>
                <pt idx="41">
                  <v>0.4188995788680795</v>
                </pt>
                <pt idx="42">
                  <v>0.4223972938086972</v>
                </pt>
                <pt idx="43">
                  <v>0.424895231312827</v>
                </pt>
                <pt idx="44">
                  <v>0.4282899940083883</v>
                </pt>
                <pt idx="45">
                  <v>0.4167915200153384</v>
                </pt>
                <pt idx="46">
                  <v>0.4139908311849272</v>
                </pt>
                <pt idx="47">
                  <v>0.4088907757516828</v>
                </pt>
                <pt idx="48">
                  <v>0.4083895110569401</v>
                </pt>
                <pt idx="49">
                  <v>0.4118829236894992</v>
                </pt>
                <pt idx="50">
                  <v>0.4158803631831939</v>
                </pt>
                <pt idx="51">
                  <v>0.4118801033945598</v>
                </pt>
                <pt idx="52">
                  <v>0.4147778394034634</v>
                </pt>
                <pt idx="53">
                  <v>0.406875986428794</v>
                </pt>
                <pt idx="54">
                  <v>0.4066746550720668</v>
                </pt>
                <pt idx="55">
                  <v>0.405973480867264</v>
                </pt>
                <pt idx="56">
                  <v>0.404872437451214</v>
                </pt>
                <pt idx="57">
                  <v>0.3992728343370091</v>
                </pt>
                <pt idx="58">
                  <v>0.3998657984648988</v>
                </pt>
                <pt idx="59">
                  <v>0.4058623959684902</v>
                </pt>
                <pt idx="60">
                  <v>0.4077603560424512</v>
                </pt>
                <pt idx="61">
                  <v>0.4148536646319962</v>
                </pt>
                <pt idx="62">
                  <v>0.4064552351217374</v>
                </pt>
                <pt idx="63">
                  <v>0.4078533404084148</v>
                </pt>
                <pt idx="64">
                  <v>0.4099511821051262</v>
                </pt>
                <pt idx="65">
                  <v>0.4138483500908913</v>
                </pt>
                <pt idx="66">
                  <v>0.4113450412515833</v>
                </pt>
                <pt idx="67">
                  <v>0.412343253078453</v>
                </pt>
                <pt idx="68">
                  <v>0.4128416497781672</v>
                </pt>
                <pt idx="69">
                  <v>0.4187322203089858</v>
                </pt>
                <pt idx="70">
                  <v>0.4117336144982507</v>
                </pt>
                <pt idx="71">
                  <v>0.4157305755531137</v>
                </pt>
                <pt idx="72">
                  <v>0.404828086702907</v>
                </pt>
                <pt idx="73">
                  <v>0.4025276850663244</v>
                </pt>
                <pt idx="74">
                  <v>0.409323374160465</v>
                </pt>
                <pt idx="75">
                  <v>0.4058234945759892</v>
                </pt>
                <pt idx="76">
                  <v>0.4044227188081937</v>
                </pt>
                <pt idx="77">
                  <v>0.4025194176585162</v>
                </pt>
                <pt idx="78">
                  <v>0.4033176783098052</v>
                </pt>
                <pt idx="79">
                  <v>0.3934208049073538</v>
                </pt>
                <pt idx="80">
                  <v>0.3898211094908501</v>
                </pt>
                <pt idx="81">
                  <v>0.3907193592003697</v>
                </pt>
                <pt idx="82">
                  <v>0.3966125598176204</v>
                </pt>
                <pt idx="83">
                  <v>0.3993099175392536</v>
                </pt>
                <pt idx="84">
                  <v>0.4010077360169781</v>
                </pt>
                <pt idx="85">
                  <v>0.3988074251816759</v>
                </pt>
                <pt idx="86">
                  <v>0.4048031436767052</v>
                </pt>
                <pt idx="87">
                  <v>0.4037994831333755</v>
                </pt>
                <pt idx="88">
                  <v>0.4037981009495252</v>
                </pt>
                <pt idx="89">
                  <v>0.4027972219464858</v>
                </pt>
                <pt idx="90">
                  <v>0.4001971603433876</v>
                </pt>
                <pt idx="91">
                  <v>0.4001957905041605</v>
                </pt>
                <pt idx="92">
                  <v>0.4037898080451272</v>
                </pt>
                <pt idx="93">
                  <v>0.399190834939227</v>
                </pt>
                <pt idx="94">
                  <v>0.3958912080615018</v>
                </pt>
                <pt idx="95">
                  <v>0.3969892693946706</v>
                </pt>
                <pt idx="96">
                  <v>0.3995865222689248</v>
                </pt>
                <pt idx="97">
                  <v>0.3995824191621685</v>
                </pt>
                <pt idx="98">
                  <v>0.3986815443592552</v>
                </pt>
                <pt idx="99">
                  <v>0.3963814472157475</v>
                </pt>
                <pt idx="100">
                  <v>0.395580534087253</v>
                </pt>
                <pt idx="101">
                  <v>0.3977779527181744</v>
                </pt>
                <pt idx="102">
                  <v>0.3920744229347498</v>
                </pt>
                <pt idx="103">
                  <v>0.3902741221690186</v>
                </pt>
                <pt idx="104">
                  <v>0.3857754047301229</v>
                </pt>
                <pt idx="105">
                  <v>0.3839725094379015</v>
                </pt>
                <pt idx="106">
                  <v>0.3776749471205514</v>
                </pt>
                <pt idx="107">
                  <v>0.3808717378283563</v>
                </pt>
                <pt idx="108">
                  <v>0.3798710366354526</v>
                </pt>
                <pt idx="109">
                  <v>0.376072038524593</v>
                </pt>
                <pt idx="110">
                  <v>0.3776671914573208</v>
                </pt>
                <pt idx="111">
                  <v>0.3693710405536295</v>
                </pt>
                <pt idx="112">
                  <v>0.3697695272124908</v>
                </pt>
                <pt idx="113">
                  <v>0.3695683869355849</v>
                </pt>
                <pt idx="114">
                  <v>0.3605727897489253</v>
                </pt>
                <pt idx="115">
                  <v>0.3605690876048558</v>
                </pt>
                <pt idx="116">
                  <v>0.3523731296288691</v>
                </pt>
                <pt idx="117">
                  <v>0.3436775511740688</v>
                </pt>
                <pt idx="118">
                  <v>0.3462746842807762</v>
                </pt>
                <pt idx="119">
                  <v>0.3528691848824912</v>
                </pt>
                <pt idx="120">
                  <v>0.3592613126895146</v>
                </pt>
                <pt idx="121">
                  <v>0.3627577473947193</v>
                </pt>
                <pt idx="122">
                  <v>0.3685526153677668</v>
                </pt>
                <pt idx="123">
                  <v>0.3658531743994634</v>
                </pt>
                <pt idx="124">
                  <v>0.3692496184094347</v>
                </pt>
                <pt idx="125">
                  <v>0.3752417000626281</v>
                </pt>
                <pt idx="126">
                  <v>0.3705436649988706</v>
                </pt>
                <pt idx="127">
                  <v>0.3627465743110977</v>
                </pt>
                <pt idx="128">
                  <v>0.3618459643058812</v>
                </pt>
                <pt idx="129">
                  <v>0.3562462355582325</v>
                </pt>
                <pt idx="130">
                  <v>0.3506490217618212</v>
                </pt>
                <pt idx="131">
                  <v>0.3498483967010027</v>
                </pt>
                <pt idx="132">
                  <v>0.3532399089711343</v>
                </pt>
                <pt idx="133">
                  <v>0.3537383305500041</v>
                </pt>
                <pt idx="134">
                  <v>0.352637936875678</v>
                </pt>
                <pt idx="135">
                  <v>0.3535360586959052</v>
                </pt>
                <pt idx="136">
                  <v>0.3512365725705721</v>
                </pt>
                <pt idx="137">
                  <v>0.3589271170548419</v>
                </pt>
                <pt idx="138">
                  <v>0.3636223021459639</v>
                </pt>
                <pt idx="139">
                  <v>0.3607232807709155</v>
                </pt>
                <pt idx="140">
                  <v>0.3595229703139703</v>
                </pt>
                <pt idx="141">
                  <v>0.3637184918521966</v>
                </pt>
                <pt idx="142">
                  <v>0.3646140526778657</v>
                </pt>
                <pt idx="143">
                  <v>0.3617150874311331</v>
                </pt>
                <pt idx="144">
                  <v>0.3660104506366539</v>
                </pt>
                <pt idx="145">
                  <v>0.3667086424484656</v>
                </pt>
                <pt idx="146">
                  <v>0.3663077065218507</v>
                </pt>
                <pt idx="147">
                  <v>0.368202411749408</v>
                </pt>
                <pt idx="148">
                  <v>0.3710987999466187</v>
                </pt>
                <pt idx="149">
                  <v>0.3692989960237889</v>
                </pt>
                <pt idx="150">
                  <v>0.3671994497654317</v>
                </pt>
                <pt idx="151">
                  <v>0.3717944155488639</v>
                </pt>
                <pt idx="152">
                  <v>0.3703917630191313</v>
                </pt>
                <pt idx="153">
                  <v>0.3701906625970079</v>
                </pt>
                <pt idx="154">
                  <v>0.3678913240602919</v>
                </pt>
                <pt idx="155">
                  <v>0.3649925063131745</v>
                </pt>
                <pt idx="156">
                  <v>0.3628930322638043</v>
                </pt>
                <pt idx="157">
                  <v>0.3644879384088965</v>
                </pt>
                <pt idx="158">
                  <v>0.3586916725691272</v>
                </pt>
                <pt idx="159">
                  <v>0.3636861338844559</v>
                </pt>
                <pt idx="160">
                  <v>0.3641844566180673</v>
                </pt>
                <pt idx="161">
                  <v>0.3741745194248839</v>
                </pt>
                <pt idx="162">
                  <v>0.3834625004704764</v>
                </pt>
                <pt idx="163">
                  <v>0.3834611884020284</v>
                </pt>
                <pt idx="164">
                  <v>0.3786641301037778</v>
                </pt>
                <pt idx="165">
                  <v>0.3795620338055157</v>
                </pt>
                <pt idx="166">
                  <v>0.3746651109795696</v>
                </pt>
                <pt idx="167">
                  <v>0.3871473246973647</v>
                </pt>
                <pt idx="168">
                  <v>0.3867463654808788</v>
                </pt>
                <pt idx="169">
                  <v>0.3851465093681142</v>
                </pt>
                <pt idx="170">
                  <v>0.3854422778859346</v>
                </pt>
                <pt idx="171">
                  <v>0.3876389116986916</v>
                </pt>
                <pt idx="172">
                  <v>0.3947309535947556</v>
                </pt>
                <pt idx="173">
                  <v>0.3882356966408234</v>
                </pt>
                <pt idx="174">
                  <v>0.3908319219912753</v>
                </pt>
                <pt idx="175">
                  <v>0.3949240107021398</v>
                </pt>
                <pt idx="176">
                  <v>0.3992185548739389</v>
                </pt>
                <pt idx="177">
                  <v>0.4043123032708362</v>
                </pt>
                <pt idx="178">
                  <v>0.4042110161112081</v>
                </pt>
                <pt idx="179">
                  <v>0.405608282412191</v>
                </pt>
                <pt idx="180">
                  <v>0.4058039242520143</v>
                </pt>
                <pt idx="181">
                  <v>0.4029053735040337</v>
                </pt>
                <pt idx="182">
                  <v>0.4004064498250007</v>
                </pt>
                <pt idx="183">
                  <v>0.3964090212393256</v>
                </pt>
                <pt idx="184">
                  <v>0.3967073683922419</v>
                </pt>
                <pt idx="185">
                  <v>0.3871115627127574</v>
                </pt>
                <pt idx="186">
                  <v>0.3888085283994882</v>
                </pt>
                <pt idx="187">
                  <v>0.3841119417027319</v>
                </pt>
                <pt idx="188">
                  <v>0.3747201467006048</v>
                </pt>
                <pt idx="189">
                  <v>0.3749160961891762</v>
                </pt>
                <pt idx="190">
                  <v>0.373616147793363</v>
                </pt>
                <pt idx="191">
                  <v>0.375512913058799</v>
                </pt>
                <pt idx="192">
                  <v>0.3750121449733494</v>
                </pt>
                <pt idx="193">
                  <v>0.371814179122349</v>
                </pt>
                <pt idx="194">
                  <v>0.3741079553618469</v>
                </pt>
                <pt idx="195">
                  <v>0.3698111916580855</v>
                </pt>
                <pt idx="196">
                  <v>0.3697100318841769</v>
                </pt>
                <pt idx="197">
                  <v>0.3681104584532122</v>
                </pt>
                <pt idx="198">
                  <v>0.37060274431859</v>
                </pt>
                <pt idx="199">
                  <v>0.3736981465136804</v>
                </pt>
                <pt idx="200">
                  <v>0.3765937430511606</v>
                </pt>
                <pt idx="201">
                  <v>0.3750940762736217</v>
                </pt>
                <pt idx="202">
                  <v>0.3774901904439358</v>
                </pt>
                <pt idx="203">
                  <v>0.379883689107827</v>
                </pt>
                <pt idx="204">
                  <v>0.3818801933490922</v>
                </pt>
                <pt idx="205">
                  <v>0.3834771245407462</v>
                </pt>
                <pt idx="206">
                  <v>0.3853737133239601</v>
                </pt>
                <pt idx="207">
                  <v>0.3890682940846458</v>
                </pt>
                <pt idx="208">
                  <v>0.3855682164151789</v>
                </pt>
                <pt idx="209">
                  <v>0.3857666730521879</v>
                </pt>
                <pt idx="210">
                  <v>0.3864645656092964</v>
                </pt>
                <pt idx="211">
                  <v>0.3863633564806896</v>
                </pt>
                <pt idx="212">
                  <v>0.387760449627306</v>
                </pt>
                <pt idx="213">
                  <v>0.3895557463577495</v>
                </pt>
                <pt idx="214">
                  <v>0.3891548707984703</v>
                </pt>
                <pt idx="215">
                  <v>0.3874554877110165</v>
                </pt>
                <pt idx="216">
                  <v>0.3865551967598927</v>
                </pt>
                <pt idx="217">
                  <v>0.3835573328042636</v>
                </pt>
                <pt idx="218">
                  <v>0.3828529012352013</v>
                </pt>
                <pt idx="219">
                  <v>0.3864473801232802</v>
                </pt>
                <pt idx="220">
                  <v>0.3865459408981916</v>
                </pt>
                <pt idx="221">
                  <v>0.3909394412062502</v>
                </pt>
                <pt idx="222">
                  <v>0.387542116335152</v>
                </pt>
                <pt idx="223">
                  <v>0.3835415889912399</v>
                </pt>
                <pt idx="224">
                  <v>0.3820420728578758</v>
                </pt>
                <pt idx="225">
                  <v>0.3786448481448669</v>
                </pt>
                <pt idx="226">
                  <v>0.3794425897548162</v>
                </pt>
                <pt idx="227">
                  <v>0.3870294675993227</v>
                </pt>
                <pt idx="228">
                  <v>0.3954179151445498</v>
                </pt>
                <pt idx="229">
                  <v>0.3944177837370065</v>
                </pt>
                <pt idx="230">
                  <v>0.3925187612447752</v>
                </pt>
                <pt idx="231">
                  <v>0.3955137348260187</v>
                </pt>
                <pt idx="232">
                  <v>0.4015022472140702</v>
                </pt>
                <pt idx="233">
                  <v>0.4026993839849776</v>
                </pt>
                <pt idx="234">
                  <v>0.4062935245105416</v>
                </pt>
                <pt idx="235">
                  <v>0.4089887640449438</v>
                </pt>
                <pt idx="236">
                  <v>0.408687740708564</v>
                </pt>
                <pt idx="237">
                  <v>0.4133776152738491</v>
                </pt>
                <pt idx="238">
                  <v>0.4116783527721722</v>
                </pt>
                <pt idx="239">
                  <v>0.4029879844444216</v>
                </pt>
                <pt idx="240">
                  <v>0.4004897869837057</v>
                </pt>
                <pt idx="241">
                  <v>0.3944960717986955</v>
                </pt>
                <pt idx="242">
                  <v>0.4151654034530878</v>
                </pt>
                <pt idx="243">
                  <v>0.4104700438132959</v>
                </pt>
                <pt idx="244">
                  <v>0.4135646320858614</v>
                </pt>
                <pt idx="245">
                  <v>0.4123647731198205</v>
                </pt>
                <pt idx="246">
                  <v>0.4079690813325125</v>
                </pt>
                <pt idx="247">
                  <v>0.3998755057578587</v>
                </pt>
                <pt idx="248">
                  <v>0.3958793914851702</v>
                </pt>
                <pt idx="249">
                  <v>0.3934811977358619</v>
                </pt>
                <pt idx="250">
                  <v>0.3904838124944423</v>
                </pt>
                <pt idx="251">
                  <v>0.3854890949324012</v>
                </pt>
                <pt idx="252">
                  <v>0.390478470535928</v>
                </pt>
                <pt idx="253">
                  <v>0.3949711174420553</v>
                </pt>
                <pt idx="254">
                  <v>0.4009617226189499</v>
                </pt>
                <pt idx="255">
                  <v>0.3994623674301369</v>
                </pt>
                <pt idx="256">
                  <v>0.3993611360014228</v>
                </pt>
                <pt idx="257">
                  <v>0.3968604329045784</v>
                </pt>
                <pt idx="258">
                  <v>0.3994555366315775</v>
                </pt>
                <pt idx="259">
                  <v>0.3944609933686504</v>
                </pt>
                <pt idx="260">
                  <v>0.3909644322845417</v>
                </pt>
                <pt idx="261">
                  <v>0.3868634257280142</v>
                </pt>
                <pt idx="262">
                  <v>0.3805708501193546</v>
                </pt>
                <pt idx="263">
                  <v>0.3814682959026289</v>
                </pt>
                <pt idx="264">
                  <v>0.3769732702251649</v>
                </pt>
                <pt idx="265">
                  <v>0.3734743221014257</v>
                </pt>
              </numCache>
            </numRef>
          </val>
          <smooth val="0"/>
        </ser>
        <ser>
          <idx val="6"/>
          <order val="6"/>
          <tx>
            <strRef>
              <f>'Grafico Paridades bkp'!$H$1:$H$2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 bkp'!$A$3:$A$270</f>
              <strCache>
                <ptCount val="267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  <pt idx="223">
                  <v>17/8/2021</v>
                </pt>
                <pt idx="224">
                  <v>18/8/2021</v>
                </pt>
                <pt idx="225">
                  <v>19/8/2021</v>
                </pt>
                <pt idx="226">
                  <v>20/8/2021</v>
                </pt>
                <pt idx="227">
                  <v>23/8/2021</v>
                </pt>
                <pt idx="228">
                  <v>24/8/2021</v>
                </pt>
                <pt idx="229">
                  <v>25/8/2021</v>
                </pt>
                <pt idx="230">
                  <v>26/8/2021</v>
                </pt>
                <pt idx="231">
                  <v>27/8/2021</v>
                </pt>
                <pt idx="232">
                  <v>30/8/2021</v>
                </pt>
                <pt idx="233">
                  <v>31/8/2021</v>
                </pt>
                <pt idx="234">
                  <v>1/9/2021</v>
                </pt>
                <pt idx="235">
                  <v>2/9/2021</v>
                </pt>
                <pt idx="236">
                  <v>3/9/2021</v>
                </pt>
                <pt idx="237">
                  <v>6/9/2021</v>
                </pt>
                <pt idx="238">
                  <v>7/9/2021</v>
                </pt>
                <pt idx="239">
                  <v>8/9/2021</v>
                </pt>
                <pt idx="240">
                  <v>9/9/2021</v>
                </pt>
                <pt idx="241">
                  <v>10/9/2021</v>
                </pt>
                <pt idx="242">
                  <v>13/9/2021</v>
                </pt>
                <pt idx="243">
                  <v>14/9/2021</v>
                </pt>
                <pt idx="244">
                  <v>15/9/2021</v>
                </pt>
                <pt idx="245">
                  <v>16/9/2021</v>
                </pt>
                <pt idx="246">
                  <v>17/9/2021</v>
                </pt>
                <pt idx="247">
                  <v>20/9/2021</v>
                </pt>
                <pt idx="248">
                  <v>21/9/2021</v>
                </pt>
                <pt idx="249">
                  <v>22/9/2021</v>
                </pt>
                <pt idx="250">
                  <v>23/9/2021</v>
                </pt>
                <pt idx="251">
                  <v>24/9/2021</v>
                </pt>
                <pt idx="252">
                  <v>27/9/2021</v>
                </pt>
                <pt idx="253">
                  <v>28/9/2021</v>
                </pt>
                <pt idx="254">
                  <v>29/9/2021</v>
                </pt>
                <pt idx="255">
                  <v>30/9/2021</v>
                </pt>
                <pt idx="256">
                  <v>1/10/2021</v>
                </pt>
                <pt idx="257">
                  <v>4/10/2021</v>
                </pt>
                <pt idx="258">
                  <v>5/10/2021</v>
                </pt>
                <pt idx="259">
                  <v>6/10/2021</v>
                </pt>
                <pt idx="260">
                  <v>7/10/2021</v>
                </pt>
                <pt idx="261">
                  <v>12/10/2021</v>
                </pt>
                <pt idx="262">
                  <v>13/10/2021</v>
                </pt>
                <pt idx="263">
                  <v>14/10/2021</v>
                </pt>
                <pt idx="264">
                  <v>15/10/2021</v>
                </pt>
                <pt idx="265">
                  <v>18/10/2021</v>
                </pt>
                <pt idx="266">
                  <v>(en blanco)</v>
                </pt>
              </strCache>
            </strRef>
          </cat>
          <val>
            <numRef>
              <f>'Grafico Paridades bkp'!$H$3:$H$270</f>
              <numCache>
                <formatCode>0.00%</formatCode>
                <ptCount val="267"/>
                <pt idx="0">
                  <v>0.4458550164208679</v>
                </pt>
                <pt idx="1">
                  <v>0.4459535897813872</v>
                </pt>
                <pt idx="2">
                  <v>0.4194251707210048</v>
                </pt>
                <pt idx="3">
                  <v>0.417922215937334</v>
                </pt>
                <pt idx="4">
                  <v>0.4164192714582491</v>
                </pt>
                <pt idx="5">
                  <v>0.4028014219650405</v>
                </pt>
                <pt idx="6">
                  <v>0.3853827431353056</v>
                </pt>
                <pt idx="7">
                  <v>0.3978938058557956</v>
                </pt>
                <pt idx="8">
                  <v>0.4194136682755594</v>
                </pt>
                <pt idx="9">
                  <v>0.4154082951394007</v>
                </pt>
                <pt idx="10">
                  <v>0.4103991553428677</v>
                </pt>
                <pt idx="11">
                  <v>0.3993870772015343</v>
                </pt>
                <pt idx="12">
                  <v>0.4077938282862216</v>
                </pt>
                <pt idx="13">
                  <v>0.4083930083402178</v>
                </pt>
                <pt idx="14">
                  <v>0.4008844097079391</v>
                </pt>
                <pt idx="15">
                  <v>0.395375064701789</v>
                </pt>
                <pt idx="16">
                  <v>0.3999780614553482</v>
                </pt>
                <pt idx="17">
                  <v>0.4013780101122633</v>
                </pt>
                <pt idx="18">
                  <v>0.3991745679164696</v>
                </pt>
                <pt idx="19">
                  <v>0.4003743225687029</v>
                </pt>
                <pt idx="20">
                  <v>0.3973660666847199</v>
                </pt>
                <pt idx="21">
                  <v>0.3941617649075179</v>
                </pt>
                <pt idx="22">
                  <v>0.3803477837611789</v>
                </pt>
                <pt idx="23">
                  <v>0.3770434711072416</v>
                </pt>
                <pt idx="24">
                  <v>0.3598240881341757</v>
                </pt>
                <pt idx="25">
                  <v>0.3607236630127031</v>
                </pt>
                <pt idx="26">
                  <v>0.3453086491692917</v>
                </pt>
                <pt idx="27">
                  <v>0.3503119215740043</v>
                </pt>
                <pt idx="28">
                  <v>0.3548147157924323</v>
                </pt>
                <pt idx="29">
                  <v>0.3423000987166832</v>
                </pt>
                <pt idx="30">
                  <v>0.3523076659411473</v>
                </pt>
                <pt idx="31">
                  <v>0.3503047171169442</v>
                </pt>
                <pt idx="32">
                  <v>0.350403603121883</v>
                </pt>
                <pt idx="33">
                  <v>0.3513031794562431</v>
                </pt>
                <pt idx="34">
                  <v>0.3508992257095949</v>
                </pt>
                <pt idx="35">
                  <v>0.3553017631412981</v>
                </pt>
                <pt idx="36">
                  <v>0.3563013919308456</v>
                </pt>
                <pt idx="37">
                  <v>0.3628056513363999</v>
                </pt>
                <pt idx="38">
                  <v>0.3583006289523744</v>
                </pt>
                <pt idx="39">
                  <v>0.3728089718191104</v>
                </pt>
                <pt idx="40">
                  <v>0.3713064549851076</v>
                </pt>
                <pt idx="41">
                  <v>0.3733068275294762</v>
                </pt>
                <pt idx="42">
                  <v>0.3662998138887651</v>
                </pt>
                <pt idx="43">
                  <v>0.3686004346008048</v>
                </pt>
                <pt idx="44">
                  <v>0.3728000274193272</v>
                </pt>
                <pt idx="45">
                  <v>0.3722983486766793</v>
                </pt>
                <pt idx="46">
                  <v>0.3752994684114379</v>
                </pt>
                <pt idx="47">
                  <v>0.3691933316881906</v>
                </pt>
                <pt idx="48">
                  <v>0.3677909579153371</v>
                </pt>
                <pt idx="49">
                  <v>0.3620814811514431</v>
                </pt>
                <pt idx="50">
                  <v>0.364281944244518</v>
                </pt>
                <pt idx="51">
                  <v>0.357375374860766</v>
                </pt>
                <pt idx="52">
                  <v>0.3625781421364334</v>
                </pt>
                <pt idx="53">
                  <v>0.3601725963828789</v>
                </pt>
                <pt idx="54">
                  <v>0.3538666118308315</v>
                </pt>
                <pt idx="55">
                  <v>0.3562672004003002</v>
                </pt>
                <pt idx="56">
                  <v>0.3570665771020831</v>
                </pt>
                <pt idx="57">
                  <v>0.3532625272891155</v>
                </pt>
                <pt idx="58">
                  <v>0.3492535676587111</v>
                </pt>
                <pt idx="59">
                  <v>0.3553567817840974</v>
                </pt>
                <pt idx="60">
                  <v>0.3562562116590699</v>
                </pt>
                <pt idx="61">
                  <v>0.3562525488959639</v>
                </pt>
                <pt idx="62">
                  <v>0.351247798104142</v>
                </pt>
                <pt idx="63">
                  <v>0.3512465943556264</v>
                </pt>
                <pt idx="64">
                  <v>0.3587506340045786</v>
                </pt>
                <pt idx="65">
                  <v>0.3620517003259115</v>
                </pt>
                <pt idx="66">
                  <v>0.3702535983550377</v>
                </pt>
                <pt idx="67">
                  <v>0.3652489196404399</v>
                </pt>
                <pt idx="68">
                  <v>0.3632463108546206</v>
                </pt>
                <pt idx="69">
                  <v>0.3677430630519487</v>
                </pt>
                <pt idx="70">
                  <v>0.3662408158789341</v>
                </pt>
                <pt idx="71">
                  <v>0.3652389062708827</v>
                </pt>
                <pt idx="72">
                  <v>0.3612300986244663</v>
                </pt>
                <pt idx="73">
                  <v>0.3566259445196443</v>
                </pt>
                <pt idx="74">
                  <v>0.3577254160155715</v>
                </pt>
                <pt idx="75">
                  <v>0.3513201766860738</v>
                </pt>
                <pt idx="76">
                  <v>0.3502182867403656</v>
                </pt>
                <pt idx="77">
                  <v>0.3502146864002248</v>
                </pt>
                <pt idx="78">
                  <v>0.3482122663815613</v>
                </pt>
                <pt idx="79">
                  <v>0.3442086470223389</v>
                </pt>
                <pt idx="80">
                  <v>0.3441074072043424</v>
                </pt>
                <pt idx="81">
                  <v>0.3427053885033839</v>
                </pt>
                <pt idx="82">
                  <v>0.3427018654824074</v>
                </pt>
                <pt idx="83">
                  <v>0.3442015700975571</v>
                </pt>
                <pt idx="84">
                  <v>0.3411986430456088</v>
                </pt>
                <pt idx="85">
                  <v>0.3371951574712762</v>
                </pt>
                <pt idx="86">
                  <v>0.3405959593190603</v>
                </pt>
                <pt idx="87">
                  <v>0.3421933626878202</v>
                </pt>
                <pt idx="88">
                  <v>0.3406913471949999</v>
                </pt>
                <pt idx="89">
                  <v>0.3401899005266639</v>
                </pt>
                <pt idx="90">
                  <v>0.3391881797435564</v>
                </pt>
                <pt idx="91">
                  <v>0.3364855279794682</v>
                </pt>
                <pt idx="92">
                  <v>0.3381829894257852</v>
                </pt>
                <pt idx="93">
                  <v>0.3381818306418177</v>
                </pt>
                <pt idx="94">
                  <v>0.3391812063979386</v>
                </pt>
                <pt idx="95">
                  <v>0.3411811064092241</v>
                </pt>
                <pt idx="96">
                  <v>0.3412799901317818</v>
                </pt>
                <pt idx="97">
                  <v>0.3412764820163852</v>
                </pt>
                <pt idx="98">
                  <v>0.3382737707726572</v>
                </pt>
                <pt idx="99">
                  <v>0.3390730201369877</v>
                </pt>
                <pt idx="100">
                  <v>0.3381714019434507</v>
                </pt>
                <pt idx="101">
                  <v>0.3356689840433368</v>
                </pt>
                <pt idx="102">
                  <v>0.3291600709934283</v>
                </pt>
                <pt idx="103">
                  <v>0.3302594746093148</v>
                </pt>
                <pt idx="104">
                  <v>0.3251558966627836</v>
                </pt>
                <pt idx="105">
                  <v>0.3226513809561335</v>
                </pt>
                <pt idx="106">
                  <v>0.3212496231121344</v>
                </pt>
                <pt idx="107">
                  <v>0.3251503263495109</v>
                </pt>
                <pt idx="108">
                  <v>0.3291510487689556</v>
                </pt>
                <pt idx="109">
                  <v>0.3301503767126808</v>
                </pt>
                <pt idx="110">
                  <v>0.3302470277863432</v>
                </pt>
                <pt idx="111">
                  <v>0.3222423604948761</v>
                </pt>
                <pt idx="112">
                  <v>0.3186396776669225</v>
                </pt>
                <pt idx="113">
                  <v>0.3257416753176895</v>
                </pt>
                <pt idx="114">
                  <v>0.3166366308749666</v>
                </pt>
                <pt idx="115">
                  <v>0.316633376387999</v>
                </pt>
                <pt idx="116">
                  <v>0.3053275683676057</v>
                </pt>
                <pt idx="117">
                  <v>0.2981235374932764</v>
                </pt>
                <pt idx="118">
                  <v>0.3027244072906674</v>
                </pt>
                <pt idx="119">
                  <v>0.3051243486215273</v>
                </pt>
                <pt idx="120">
                  <v>0.309623000918173</v>
                </pt>
                <pt idx="121">
                  <v>0.3130232797163267</v>
                </pt>
                <pt idx="122">
                  <v>0.3167236523848352</v>
                </pt>
                <pt idx="123">
                  <v>0.3161223350132072</v>
                </pt>
                <pt idx="124">
                  <v>0.3217234007564545</v>
                </pt>
                <pt idx="125">
                  <v>0.3276222973644271</v>
                </pt>
                <pt idx="126">
                  <v>0.3275211379551341</v>
                </pt>
                <pt idx="127">
                  <v>0.3152144271550631</v>
                </pt>
                <pt idx="128">
                  <v>0.3121122321382689</v>
                </pt>
                <pt idx="129">
                  <v>0.3082076615804151</v>
                </pt>
                <pt idx="130">
                  <v>0.3070061904973981</v>
                </pt>
                <pt idx="131">
                  <v>0.3050044535799931</v>
                </pt>
                <pt idx="132">
                  <v>0.306099587194464</v>
                </pt>
                <pt idx="133">
                  <v>0.3050982165491631</v>
                </pt>
                <pt idx="134">
                  <v>0.3036967253269021</v>
                </pt>
                <pt idx="135">
                  <v>0.304095811008948</v>
                </pt>
                <pt idx="136">
                  <v>0.3019941146042089</v>
                </pt>
                <pt idx="137">
                  <v>0.3060922469785415</v>
                </pt>
                <pt idx="138">
                  <v>0.3085919434900125</v>
                </pt>
                <pt idx="139">
                  <v>0.3072905033674301</v>
                </pt>
                <pt idx="140">
                  <v>0.3078896254046555</v>
                </pt>
                <pt idx="141">
                  <v>0.3100892037435427</v>
                </pt>
                <pt idx="142">
                  <v>0.3080854620631066</v>
                </pt>
                <pt idx="143">
                  <v>0.3086845711153741</v>
                </pt>
                <pt idx="144">
                  <v>0.3095837572493928</v>
                </pt>
                <pt idx="145">
                  <v>0.3116832578565507</v>
                </pt>
                <pt idx="146">
                  <v>0.3150830869784155</v>
                </pt>
                <pt idx="147">
                  <v>0.3150798490028295</v>
                </pt>
                <pt idx="148">
                  <v>0.320580145036259</v>
                </pt>
                <pt idx="149">
                  <v>0.3220794168425091</v>
                </pt>
                <pt idx="150">
                  <v>0.3175772191183472</v>
                </pt>
                <pt idx="151">
                  <v>0.3200767307231185</v>
                </pt>
                <pt idx="152">
                  <v>0.3200734415088394</v>
                </pt>
                <pt idx="153">
                  <v>0.320172367726952</v>
                </pt>
                <pt idx="154">
                  <v>0.3180708034322709</v>
                </pt>
                <pt idx="155">
                  <v>0.3156691877671818</v>
                </pt>
                <pt idx="156">
                  <v>0.3135676532950603</v>
                </pt>
                <pt idx="157">
                  <v>0.3140645338083168</v>
                </pt>
                <pt idx="158">
                  <v>0.3101626698545254</v>
                </pt>
                <pt idx="159">
                  <v>0.3132622233183304</v>
                </pt>
                <pt idx="160">
                  <v>0.3120609160007262</v>
                </pt>
                <pt idx="161">
                  <v>0.324562244814074</v>
                </pt>
                <pt idx="162">
                  <v>0.3290597265942106</v>
                </pt>
                <pt idx="163">
                  <v>0.3290585994766191</v>
                </pt>
                <pt idx="164">
                  <v>0.329057472366749</v>
                </pt>
                <pt idx="165">
                  <v>0.3280561740023976</v>
                </pt>
                <pt idx="166">
                  <v>0.3225541272336796</v>
                </pt>
                <pt idx="167">
                  <v>0.3345504117058735</v>
                </pt>
                <pt idx="168">
                  <v>0.3380497813034111</v>
                </pt>
                <pt idx="169">
                  <v>0.3350481918632132</v>
                </pt>
                <pt idx="170">
                  <v>0.334044615547967</v>
                </pt>
                <pt idx="171">
                  <v>0.3371438748878279</v>
                </pt>
                <pt idx="172">
                  <v>0.3420433411082912</v>
                </pt>
                <pt idx="173">
                  <v>0.3327410228658328</v>
                </pt>
                <pt idx="174">
                  <v>0.3354402068741116</v>
                </pt>
                <pt idx="175">
                  <v>0.3380370451556335</v>
                </pt>
                <pt idx="176">
                  <v>0.3409361952810059</v>
                </pt>
                <pt idx="177">
                  <v>0.3474356954481625</v>
                </pt>
                <pt idx="178">
                  <v>0.3505348133890009</v>
                </pt>
                <pt idx="179">
                  <v>0.3515337087117943</v>
                </pt>
                <pt idx="180">
                  <v>0.3509300453805977</v>
                </pt>
                <pt idx="181">
                  <v>0.3473285475518536</v>
                </pt>
                <pt idx="182">
                  <v>0.3444271295341756</v>
                </pt>
                <pt idx="183">
                  <v>0.341425723855907</v>
                </pt>
                <pt idx="184">
                  <v>0.3381243171597957</v>
                </pt>
                <pt idx="185">
                  <v>0.3335194172263454</v>
                </pt>
                <pt idx="186">
                  <v>0.3330182475752096</v>
                </pt>
                <pt idx="187">
                  <v>0.329516927239413</v>
                </pt>
                <pt idx="188">
                  <v>0.320615371969889</v>
                </pt>
                <pt idx="189">
                  <v>0.3200120552486566</v>
                </pt>
                <pt idx="190">
                  <v>0.3140107537929381</v>
                </pt>
                <pt idx="191">
                  <v>0.3130096475576302</v>
                </pt>
                <pt idx="192">
                  <v>0.3135085892764186</v>
                </pt>
                <pt idx="193">
                  <v>0.3175076114838369</v>
                </pt>
                <pt idx="194">
                  <v>0.3150043151276045</v>
                </pt>
                <pt idx="195">
                  <v>0.3108031931834916</v>
                </pt>
                <pt idx="196">
                  <v>0.3126021411105556</v>
                </pt>
                <pt idx="197">
                  <v>0.3150010787708177</v>
                </pt>
                <pt idx="198">
                  <v>0.3189967226364113</v>
                </pt>
                <pt idx="199">
                  <v>0.3274955137600855</v>
                </pt>
                <pt idx="200">
                  <v>0.325994417903803</v>
                </pt>
                <pt idx="201">
                  <v>0.3271932768504757</v>
                </pt>
                <pt idx="202">
                  <v>0.3264921731328359</v>
                </pt>
                <pt idx="203">
                  <v>0.3293887195643985</v>
                </pt>
                <pt idx="204">
                  <v>0.3311875237576666</v>
                </pt>
                <pt idx="205">
                  <v>0.3325863320685451</v>
                </pt>
                <pt idx="206">
                  <v>0.3329851753175372</v>
                </pt>
                <pt idx="207">
                  <v>0.3333840158348573</v>
                </pt>
                <pt idx="208">
                  <v>0.3349804977107497</v>
                </pt>
                <pt idx="209">
                  <v>0.3344793814079954</v>
                </pt>
                <pt idx="210">
                  <v>0.3370780668381167</v>
                </pt>
                <pt idx="211">
                  <v>0.3349770563660023</v>
                </pt>
                <pt idx="212">
                  <v>0.3357758517366902</v>
                </pt>
                <pt idx="213">
                  <v>0.3359735363310424</v>
                </pt>
                <pt idx="214">
                  <v>0.3369723036462757</v>
                </pt>
                <pt idx="215">
                  <v>0.3342713808749251</v>
                </pt>
                <pt idx="216">
                  <v>0.3301706012478342</v>
                </pt>
                <pt idx="217">
                  <v>0.3274697202655919</v>
                </pt>
                <pt idx="218">
                  <v>0.3269652879317607</v>
                </pt>
                <pt idx="219">
                  <v>0.3290639381985536</v>
                </pt>
                <pt idx="220">
                  <v>0.3302626757934891</v>
                </pt>
                <pt idx="221">
                  <v>0.3379606484176499</v>
                </pt>
                <pt idx="222">
                  <v>0.3324601503244474</v>
                </pt>
                <pt idx="223">
                  <v>0.3269563311749458</v>
                </pt>
                <pt idx="224">
                  <v>0.3317545541706616</v>
                </pt>
                <pt idx="225">
                  <v>0.3319533901061837</v>
                </pt>
                <pt idx="226">
                  <v>0.3269529725176516</v>
                </pt>
                <pt idx="227">
                  <v>0.3289493057576743</v>
                </pt>
                <pt idx="228">
                  <v>0.3379467618114954</v>
                </pt>
                <pt idx="229">
                  <v>0.3349460874448291</v>
                </pt>
                <pt idx="230">
                  <v>0.3399441187749959</v>
                </pt>
                <pt idx="231">
                  <v>0.341242736664053</v>
                </pt>
                <pt idx="232">
                  <v>0.3499376823305439</v>
                </pt>
                <pt idx="233">
                  <v>0.349936484131305</v>
                </pt>
                <pt idx="234">
                  <v>0.3559341765563903</v>
                </pt>
                <pt idx="235">
                  <v>0.3579325811918987</v>
                </pt>
                <pt idx="236">
                  <v>0.3569315473744761</v>
                </pt>
                <pt idx="237">
                  <v>0.3594273759754023</v>
                </pt>
                <pt idx="238">
                  <v>0.3634253235636513</v>
                </pt>
                <pt idx="239">
                  <v>0.3586250817466214</v>
                </pt>
                <pt idx="240">
                  <v>0.3559244270052249</v>
                </pt>
                <pt idx="241">
                  <v>0.3450255595539318</v>
                </pt>
                <pt idx="242">
                  <v>0.3560195298322982</v>
                </pt>
                <pt idx="243">
                  <v>0.3561182879270852</v>
                </pt>
                <pt idx="244">
                  <v>0.3559171151923525</v>
                </pt>
                <pt idx="245">
                  <v>0.3579154240949912</v>
                </pt>
                <pt idx="246">
                  <v>0.3579141986510083</v>
                </pt>
                <pt idx="247">
                  <v>0.3514121469632592</v>
                </pt>
                <pt idx="248">
                  <v>0.3499113238425878</v>
                </pt>
                <pt idx="249">
                  <v>0.3424120516990499</v>
                </pt>
                <pt idx="250">
                  <v>0.3454100987414234</v>
                </pt>
                <pt idx="251">
                  <v>0.3443092061339989</v>
                </pt>
                <pt idx="252">
                  <v>0.3409066009312517</v>
                </pt>
                <pt idx="253">
                  <v>0.3449043244853311</v>
                </pt>
                <pt idx="254">
                  <v>0.3474024417800481</v>
                </pt>
                <pt idx="255">
                  <v>0.3449019627982457</v>
                </pt>
                <pt idx="256">
                  <v>0.3439010695553334</v>
                </pt>
                <pt idx="257">
                  <v>0.3435976267345003</v>
                </pt>
                <pt idx="258">
                  <v>0.3443962093615623</v>
                </pt>
                <pt idx="259">
                  <v>0.3308991437541298</v>
                </pt>
                <pt idx="260">
                  <v>0.3398952377691807</v>
                </pt>
                <pt idx="261">
                  <v>0.3358907204847738</v>
                </pt>
                <pt idx="262">
                  <v>0.3378889132340052</v>
                </pt>
                <pt idx="263">
                  <v>0.3248920735235213</v>
                </pt>
                <pt idx="264">
                  <v>0.3343877739662716</v>
                </pt>
                <pt idx="265">
                  <v>0.3308855498611782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51188207"/>
        <axId val="251183215"/>
      </lineChart>
      <catAx>
        <axId val="251188207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51183215"/>
        <crosses val="autoZero"/>
        <auto val="1"/>
        <lblAlgn val="ctr"/>
        <lblOffset val="100"/>
        <noMultiLvlLbl val="0"/>
      </catAx>
      <valAx>
        <axId val="2511832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251188207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pivotSource>
    <name>[Bonos en dolares.xlsm]Grafico Paridades!Tabla dinámica1</name>
    <fmtId val="0"/>
  </pivotSource>
  <chart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398110301960533"/>
          <y val="0.02242933269704923"/>
          <w val="0.8733491438178869"/>
          <h val="0.8540825578620854"/>
        </manualLayout>
      </layout>
      <lineChart>
        <grouping val="standard"/>
        <varyColors val="0"/>
        <ser>
          <idx val="0"/>
          <order val="0"/>
          <tx>
            <strRef>
              <f>'Grafico Paridades'!$B$1:$B$2</f>
              <strCache>
                <ptCount val="1"/>
                <pt idx="0">
                  <v>Suma de P29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Paridades'!$A$3:$A$238</f>
              <strCache>
                <ptCount val="235"/>
                <pt idx="0">
                  <v>28/10/2020</v>
                </pt>
                <pt idx="1">
                  <v>29/10/2020</v>
                </pt>
                <pt idx="2">
                  <v>30/10/2020</v>
                </pt>
                <pt idx="3">
                  <v>2/11/2020</v>
                </pt>
                <pt idx="4">
                  <v>3/11/2020</v>
                </pt>
                <pt idx="5">
                  <v>4/11/2020</v>
                </pt>
                <pt idx="6">
                  <v>5/11/2020</v>
                </pt>
                <pt idx="7">
                  <v>6/11/2020</v>
                </pt>
                <pt idx="8">
                  <v>9/11/2020</v>
                </pt>
                <pt idx="9">
                  <v>10/11/2020</v>
                </pt>
                <pt idx="10">
                  <v>11/11/2020</v>
                </pt>
                <pt idx="11">
                  <v>12/11/2020</v>
                </pt>
                <pt idx="12">
                  <v>13/11/2020</v>
                </pt>
                <pt idx="13">
                  <v>16/11/2020</v>
                </pt>
                <pt idx="14">
                  <v>17/11/2020</v>
                </pt>
                <pt idx="15">
                  <v>18/11/2020</v>
                </pt>
                <pt idx="16">
                  <v>19/11/2020</v>
                </pt>
                <pt idx="17">
                  <v>20/11/2020</v>
                </pt>
                <pt idx="18">
                  <v>24/11/2020</v>
                </pt>
                <pt idx="19">
                  <v>25/11/2020</v>
                </pt>
                <pt idx="20">
                  <v>26/11/2020</v>
                </pt>
                <pt idx="21">
                  <v>27/11/2020</v>
                </pt>
                <pt idx="22">
                  <v>30/11/2020</v>
                </pt>
                <pt idx="23">
                  <v>1/12/2020</v>
                </pt>
                <pt idx="24">
                  <v>2/12/2020</v>
                </pt>
                <pt idx="25">
                  <v>3/12/2020</v>
                </pt>
                <pt idx="26">
                  <v>4/12/2020</v>
                </pt>
                <pt idx="27">
                  <v>9/12/2020</v>
                </pt>
                <pt idx="28">
                  <v>10/12/2020</v>
                </pt>
                <pt idx="29">
                  <v>11/12/2020</v>
                </pt>
                <pt idx="30">
                  <v>14/12/2020</v>
                </pt>
                <pt idx="31">
                  <v>15/12/2020</v>
                </pt>
                <pt idx="32">
                  <v>16/12/2020</v>
                </pt>
                <pt idx="33">
                  <v>17/12/2020</v>
                </pt>
                <pt idx="34">
                  <v>18/12/2020</v>
                </pt>
                <pt idx="35">
                  <v>21/12/2020</v>
                </pt>
                <pt idx="36">
                  <v>22/12/2020</v>
                </pt>
                <pt idx="37">
                  <v>23/12/2020</v>
                </pt>
                <pt idx="38">
                  <v>28/12/2020</v>
                </pt>
                <pt idx="39">
                  <v>29/12/2020</v>
                </pt>
                <pt idx="40">
                  <v>30/12/2020</v>
                </pt>
                <pt idx="41">
                  <v>4/1/2021</v>
                </pt>
                <pt idx="42">
                  <v>5/1/2021</v>
                </pt>
                <pt idx="43">
                  <v>6/1/2021</v>
                </pt>
                <pt idx="44">
                  <v>7/1/2021</v>
                </pt>
                <pt idx="45">
                  <v>8/1/2021</v>
                </pt>
                <pt idx="46">
                  <v>11/1/2021</v>
                </pt>
                <pt idx="47">
                  <v>12/1/2021</v>
                </pt>
                <pt idx="48">
                  <v>13/1/2021</v>
                </pt>
                <pt idx="49">
                  <v>14/1/2021</v>
                </pt>
                <pt idx="50">
                  <v>15/1/2021</v>
                </pt>
                <pt idx="51">
                  <v>18/1/2021</v>
                </pt>
                <pt idx="52">
                  <v>19/1/2021</v>
                </pt>
                <pt idx="53">
                  <v>20/1/2021</v>
                </pt>
                <pt idx="54">
                  <v>21/1/2021</v>
                </pt>
                <pt idx="55">
                  <v>22/1/2021</v>
                </pt>
                <pt idx="56">
                  <v>25/1/2021</v>
                </pt>
                <pt idx="57">
                  <v>26/1/2021</v>
                </pt>
                <pt idx="58">
                  <v>27/1/2021</v>
                </pt>
                <pt idx="59">
                  <v>28/1/2021</v>
                </pt>
                <pt idx="60">
                  <v>29/1/2021</v>
                </pt>
                <pt idx="61">
                  <v>1/2/2021</v>
                </pt>
                <pt idx="62">
                  <v>2/2/2021</v>
                </pt>
                <pt idx="63">
                  <v>3/2/2021</v>
                </pt>
                <pt idx="64">
                  <v>4/2/2021</v>
                </pt>
                <pt idx="65">
                  <v>5/2/2021</v>
                </pt>
                <pt idx="66">
                  <v>8/2/2021</v>
                </pt>
                <pt idx="67">
                  <v>9/2/2021</v>
                </pt>
                <pt idx="68">
                  <v>10/2/2021</v>
                </pt>
                <pt idx="69">
                  <v>11/2/2021</v>
                </pt>
                <pt idx="70">
                  <v>12/2/2021</v>
                </pt>
                <pt idx="71">
                  <v>17/2/2021</v>
                </pt>
                <pt idx="72">
                  <v>18/2/2021</v>
                </pt>
                <pt idx="73">
                  <v>19/2/2021</v>
                </pt>
                <pt idx="74">
                  <v>22/2/2021</v>
                </pt>
                <pt idx="75">
                  <v>23/2/2021</v>
                </pt>
                <pt idx="76">
                  <v>24/2/2021</v>
                </pt>
                <pt idx="77">
                  <v>25/2/2021</v>
                </pt>
                <pt idx="78">
                  <v>26/2/2021</v>
                </pt>
                <pt idx="79">
                  <v>1/3/2021</v>
                </pt>
                <pt idx="80">
                  <v>2/3/2021</v>
                </pt>
                <pt idx="81">
                  <v>3/3/2021</v>
                </pt>
                <pt idx="82">
                  <v>4/3/2021</v>
                </pt>
                <pt idx="83">
                  <v>5/3/2021</v>
                </pt>
                <pt idx="84">
                  <v>8/3/2021</v>
                </pt>
                <pt idx="85">
                  <v>9/3/2021</v>
                </pt>
                <pt idx="86">
                  <v>10/3/2021</v>
                </pt>
                <pt idx="87">
                  <v>11/3/2021</v>
                </pt>
                <pt idx="88">
                  <v>12/3/2021</v>
                </pt>
                <pt idx="89">
                  <v>15/3/2021</v>
                </pt>
                <pt idx="90">
                  <v>16/3/2021</v>
                </pt>
                <pt idx="91">
                  <v>17/3/2021</v>
                </pt>
                <pt idx="92">
                  <v>18/3/2021</v>
                </pt>
                <pt idx="93">
                  <v>19/3/2021</v>
                </pt>
                <pt idx="94">
                  <v>22/3/2021</v>
                </pt>
                <pt idx="95">
                  <v>23/3/2021</v>
                </pt>
                <pt idx="96">
                  <v>25/3/2021</v>
                </pt>
                <pt idx="97">
                  <v>26/3/2021</v>
                </pt>
                <pt idx="98">
                  <v>29/3/2021</v>
                </pt>
                <pt idx="99">
                  <v>30/3/2021</v>
                </pt>
                <pt idx="100">
                  <v>31/3/2021</v>
                </pt>
                <pt idx="101">
                  <v>5/4/2021</v>
                </pt>
                <pt idx="102">
                  <v>6/4/2021</v>
                </pt>
                <pt idx="103">
                  <v>7/4/2021</v>
                </pt>
                <pt idx="104">
                  <v>8/4/2021</v>
                </pt>
                <pt idx="105">
                  <v>9/4/2021</v>
                </pt>
                <pt idx="106">
                  <v>12/4/2021</v>
                </pt>
                <pt idx="107">
                  <v>13/4/2021</v>
                </pt>
                <pt idx="108">
                  <v>14/4/2021</v>
                </pt>
                <pt idx="109">
                  <v>15/4/2021</v>
                </pt>
                <pt idx="110">
                  <v>16/4/2021</v>
                </pt>
                <pt idx="111">
                  <v>19/4/2021</v>
                </pt>
                <pt idx="112">
                  <v>20/4/2021</v>
                </pt>
                <pt idx="113">
                  <v>21/4/2021</v>
                </pt>
                <pt idx="114">
                  <v>22/4/2021</v>
                </pt>
                <pt idx="115">
                  <v>23/4/2021</v>
                </pt>
                <pt idx="116">
                  <v>26/4/2021</v>
                </pt>
                <pt idx="117">
                  <v>27/4/2021</v>
                </pt>
                <pt idx="118">
                  <v>28/4/2021</v>
                </pt>
                <pt idx="119">
                  <v>29/4/2021</v>
                </pt>
                <pt idx="120">
                  <v>30/4/2021</v>
                </pt>
                <pt idx="121">
                  <v>3/5/2021</v>
                </pt>
                <pt idx="122">
                  <v>4/5/2021</v>
                </pt>
                <pt idx="123">
                  <v>5/5/2021</v>
                </pt>
                <pt idx="124">
                  <v>6/5/2021</v>
                </pt>
                <pt idx="125">
                  <v>7/5/2021</v>
                </pt>
                <pt idx="126">
                  <v>10/5/2021</v>
                </pt>
                <pt idx="127">
                  <v>11/5/2021</v>
                </pt>
                <pt idx="128">
                  <v>12/5/2021</v>
                </pt>
                <pt idx="129">
                  <v>13/5/2021</v>
                </pt>
                <pt idx="130">
                  <v>14/5/2021</v>
                </pt>
                <pt idx="131">
                  <v>17/5/2021</v>
                </pt>
                <pt idx="132">
                  <v>18/5/2021</v>
                </pt>
                <pt idx="133">
                  <v>19/5/2021</v>
                </pt>
                <pt idx="134">
                  <v>20/5/2021</v>
                </pt>
                <pt idx="135">
                  <v>21/5/2021</v>
                </pt>
                <pt idx="136">
                  <v>26/5/2021</v>
                </pt>
                <pt idx="137">
                  <v>27/5/2021</v>
                </pt>
                <pt idx="138">
                  <v>28/5/2021</v>
                </pt>
                <pt idx="139">
                  <v>31/5/2021</v>
                </pt>
                <pt idx="140">
                  <v>1/6/2021</v>
                </pt>
                <pt idx="141">
                  <v>2/6/2021</v>
                </pt>
                <pt idx="142">
                  <v>3/6/2021</v>
                </pt>
                <pt idx="143">
                  <v>4/6/2021</v>
                </pt>
                <pt idx="144">
                  <v>7/6/2021</v>
                </pt>
                <pt idx="145">
                  <v>8/6/2021</v>
                </pt>
                <pt idx="146">
                  <v>9/6/2021</v>
                </pt>
                <pt idx="147">
                  <v>10/6/2021</v>
                </pt>
                <pt idx="148">
                  <v>11/6/2021</v>
                </pt>
                <pt idx="149">
                  <v>14/6/2021</v>
                </pt>
                <pt idx="150">
                  <v>15/6/2021</v>
                </pt>
                <pt idx="151">
                  <v>16/6/2021</v>
                </pt>
                <pt idx="152">
                  <v>17/6/2021</v>
                </pt>
                <pt idx="153">
                  <v>18/6/2021</v>
                </pt>
                <pt idx="154">
                  <v>22/6/2021</v>
                </pt>
                <pt idx="155">
                  <v>23/6/2021</v>
                </pt>
                <pt idx="156">
                  <v>24/6/2021</v>
                </pt>
                <pt idx="157">
                  <v>25/6/2021</v>
                </pt>
                <pt idx="158">
                  <v>28/6/2021</v>
                </pt>
                <pt idx="159">
                  <v>29/6/2021</v>
                </pt>
                <pt idx="160">
                  <v>30/6/2021</v>
                </pt>
                <pt idx="161">
                  <v>1/7/2021</v>
                </pt>
                <pt idx="162">
                  <v>2/7/2021</v>
                </pt>
                <pt idx="163">
                  <v>5/7/2021</v>
                </pt>
                <pt idx="164">
                  <v>6/7/2021</v>
                </pt>
                <pt idx="165">
                  <v>7/7/2021</v>
                </pt>
                <pt idx="166">
                  <v>8/7/2021</v>
                </pt>
                <pt idx="167">
                  <v>12/7/2021</v>
                </pt>
                <pt idx="168">
                  <v>13/7/2021</v>
                </pt>
                <pt idx="169">
                  <v>14/7/2021</v>
                </pt>
                <pt idx="170">
                  <v>15/7/2021</v>
                </pt>
                <pt idx="171">
                  <v>16/7/2021</v>
                </pt>
                <pt idx="172">
                  <v>19/7/2021</v>
                </pt>
                <pt idx="173">
                  <v>20/7/2021</v>
                </pt>
                <pt idx="174">
                  <v>21/7/2021</v>
                </pt>
                <pt idx="175">
                  <v>22/7/2021</v>
                </pt>
                <pt idx="176">
                  <v>23/7/2021</v>
                </pt>
                <pt idx="177">
                  <v>26/7/2021</v>
                </pt>
                <pt idx="178">
                  <v>27/7/2021</v>
                </pt>
                <pt idx="179">
                  <v>28/7/2021</v>
                </pt>
                <pt idx="180">
                  <v>29/7/2021</v>
                </pt>
                <pt idx="181">
                  <v>30/7/2021</v>
                </pt>
                <pt idx="182">
                  <v>1/8/2021</v>
                </pt>
                <pt idx="183">
                  <v>2/8/2021</v>
                </pt>
                <pt idx="184">
                  <v>3/8/2021</v>
                </pt>
                <pt idx="185">
                  <v>4/8/2021</v>
                </pt>
                <pt idx="186">
                  <v>5/8/2021</v>
                </pt>
                <pt idx="187">
                  <v>9/8/2021</v>
                </pt>
                <pt idx="188">
                  <v>10/8/2021</v>
                </pt>
                <pt idx="189">
                  <v>11/8/2021</v>
                </pt>
                <pt idx="190">
                  <v>12/8/2021</v>
                </pt>
                <pt idx="191">
                  <v>13/8/2021</v>
                </pt>
                <pt idx="192">
                  <v>17/8/2021</v>
                </pt>
                <pt idx="193">
                  <v>18/8/2021</v>
                </pt>
                <pt idx="194">
                  <v>19/8/2021</v>
                </pt>
                <pt idx="195">
                  <v>20/8/2021</v>
                </pt>
                <pt idx="196">
                  <v>23/8/2021</v>
                </pt>
                <pt idx="197">
                  <v>24/8/2021</v>
                </pt>
                <pt idx="198">
                  <v>25/8/2021</v>
                </pt>
                <pt idx="199">
                  <v>26/8/2021</v>
                </pt>
                <pt idx="200">
                  <v>27/8/2021</v>
                </pt>
                <pt idx="201">
                  <v>30/8/2021</v>
                </pt>
                <pt idx="202">
                  <v>31/8/2021</v>
                </pt>
                <pt idx="203">
                  <v>1/9/2021</v>
                </pt>
                <pt idx="204">
                  <v>2/9/2021</v>
                </pt>
                <pt idx="205">
                  <v>3/9/2021</v>
                </pt>
                <pt idx="206">
                  <v>6/9/2021</v>
                </pt>
                <pt idx="207">
                  <v>7/9/2021</v>
                </pt>
                <pt idx="208">
                  <v>8/9/2021</v>
                </pt>
                <pt idx="209">
                  <v>9/9/2021</v>
                </pt>
                <pt idx="210">
                  <v>10/9/2021</v>
                </pt>
                <pt idx="211">
                  <v>13/9/2021</v>
                </pt>
                <pt idx="212">
                  <v>14/9/2021</v>
                </pt>
                <pt idx="213">
                  <v>15/9/2021</v>
                </pt>
                <pt idx="214">
                  <v>16/9/2021</v>
                </pt>
                <pt idx="215">
                  <v>17/9/2021</v>
                </pt>
                <pt idx="216">
                  <v>20/9/2021</v>
                </pt>
                <pt idx="217">
                  <v>21/9/2021</v>
                </pt>
                <pt idx="218">
                  <v>22/9/2021</v>
                </pt>
                <pt idx="219">
                  <v>23/9/2021</v>
                </pt>
                <pt idx="220">
                  <v>24/9/2021</v>
                </pt>
                <pt idx="221">
                  <v>27/9/2021</v>
                </pt>
                <pt idx="222">
                  <v>28/9/2021</v>
                </pt>
                <pt idx="223">
                  <v>29/9/2021</v>
                </pt>
                <pt idx="224">
                  <v>30/9/2021</v>
                </pt>
                <pt idx="225">
                  <v>1/10/2021</v>
                </pt>
                <pt idx="226">
                  <v>4/10/2021</v>
                </pt>
                <pt idx="227">
                  <v>5/10/2021</v>
                </pt>
                <pt idx="228">
                  <v>6/10/2021</v>
                </pt>
                <pt idx="229">
                  <v>7/10/2021</v>
                </pt>
                <pt idx="230">
                  <v>12/10/2021</v>
                </pt>
                <pt idx="231">
                  <v>13/10/2021</v>
                </pt>
                <pt idx="232">
                  <v>14/10/2021</v>
                </pt>
                <pt idx="233">
                  <v>15/10/2021</v>
                </pt>
                <pt idx="234">
                  <v>18/10/2021</v>
                </pt>
              </strCache>
            </strRef>
          </cat>
          <val>
            <numRef>
              <f>'Grafico Paridades'!$B$3:$B$238</f>
              <numCache>
                <formatCode>0.00%</formatCode>
                <ptCount val="235"/>
                <pt idx="0">
                  <v>0.4450973900568339</v>
                </pt>
                <pt idx="1">
                  <v>0.4576723590917869</v>
                </pt>
                <pt idx="2">
                  <v>0.4521214963584197</v>
                </pt>
                <pt idx="3">
                  <v>0.4401023420043585</v>
                </pt>
                <pt idx="4">
                  <v>0.4510647688403398</v>
                </pt>
                <pt idx="5">
                  <v>0.4520591399332469</v>
                </pt>
                <pt idx="6">
                  <v>0.4580873834611353</v>
                </pt>
                <pt idx="7">
                  <v>0.4571686663908426</v>
                </pt>
                <pt idx="8">
                  <v>0.4600501958188538</v>
                </pt>
                <pt idx="9">
                  <v>0.4545009514879064</v>
                </pt>
                <pt idx="10">
                  <v>0.4509652509652509</v>
                </pt>
                <pt idx="11">
                  <v>0.4429000854912992</v>
                </pt>
                <pt idx="12">
                  <v>0.4529535050466053</v>
                </pt>
                <pt idx="13">
                  <v>0.4529160347442437</v>
                </pt>
                <pt idx="14">
                  <v>0.4433422489383996</v>
                </pt>
                <pt idx="15">
                  <v>0.4377946893870461</v>
                </pt>
                <pt idx="16">
                  <v>0.4257058564023381</v>
                </pt>
                <pt idx="17">
                  <v>0.4246877498690342</v>
                </pt>
                <pt idx="18">
                  <v>0.4291690789292311</v>
                </pt>
                <pt idx="19">
                  <v>0.4366033522633291</v>
                </pt>
                <pt idx="20">
                  <v>0.4346795313576844</v>
                </pt>
                <pt idx="21">
                  <v>0.4323533465652222</v>
                </pt>
                <pt idx="22">
                  <v>0.4245706882769646</v>
                </pt>
                <pt idx="23">
                  <v>0.421138368246968</v>
                </pt>
                <pt idx="24">
                  <v>0.4201207243460764</v>
                </pt>
                <pt idx="25">
                  <v>0.4205115484262169</v>
                </pt>
                <pt idx="26">
                  <v>0.4200975663533886</v>
                </pt>
                <pt idx="27">
                  <v>0.4194361772486773</v>
                </pt>
                <pt idx="28">
                  <v>0.4236490396538896</v>
                </pt>
                <pt idx="29">
                  <v>0.4216257922292643</v>
                </pt>
                <pt idx="30">
                  <v>0.4234012068442951</v>
                </pt>
                <pt idx="31">
                  <v>0.4198696754284455</v>
                </pt>
                <pt idx="32">
                  <v>0.4178468108554897</v>
                </pt>
                <pt idx="33">
                  <v>0.4180364227463081</v>
                </pt>
                <pt idx="34">
                  <v>0.4198349725872662</v>
                </pt>
                <pt idx="35">
                  <v>0.4244256198347108</v>
                </pt>
                <pt idx="36">
                  <v>0.425318861739346</v>
                </pt>
                <pt idx="37">
                  <v>0.4250055093383285</v>
                </pt>
                <pt idx="38">
                  <v>0.4246453851874294</v>
                </pt>
                <pt idx="39">
                  <v>0.4257395064448606</v>
                </pt>
                <pt idx="40">
                  <v>0.4257277809909389</v>
                </pt>
                <pt idx="41">
                  <v>0.4157184556920196</v>
                </pt>
                <pt idx="42">
                  <v>0.4146014043783561</v>
                </pt>
                <pt idx="43">
                  <v>0.4171026544773653</v>
                </pt>
                <pt idx="44">
                  <v>0.41437756422612</v>
                </pt>
                <pt idx="45">
                  <v>0.4105471116250895</v>
                </pt>
                <pt idx="46">
                  <v>0.4097092591063022</v>
                </pt>
                <pt idx="47">
                  <v>0.4115068002863279</v>
                </pt>
                <pt idx="48">
                  <v>0.4073754921124356</v>
                </pt>
                <pt idx="49">
                  <v>0.4042492566897918</v>
                </pt>
                <pt idx="50">
                  <v>0.4027309015829318</v>
                </pt>
                <pt idx="51">
                  <v>0.4028985906188065</v>
                </pt>
                <pt idx="52">
                  <v>0.4038922073274794</v>
                </pt>
                <pt idx="53">
                  <v>0.4015703275529865</v>
                </pt>
                <pt idx="54">
                  <v>0.400856018276403</v>
                </pt>
                <pt idx="55">
                  <v>0.4018496091599691</v>
                </pt>
                <pt idx="56">
                  <v>0.4007114352552635</v>
                </pt>
                <pt idx="57">
                  <v>0.4002986019374725</v>
                </pt>
                <pt idx="58">
                  <v>0.4001871370779096</v>
                </pt>
                <pt idx="59">
                  <v>0.396258737409874</v>
                </pt>
                <pt idx="60">
                  <v>0.3972522634084592</v>
                </pt>
                <pt idx="61">
                  <v>0.3995294700346707</v>
                </pt>
                <pt idx="62">
                  <v>0.4002215007016482</v>
                </pt>
                <pt idx="63">
                  <v>0.3976997578692494</v>
                </pt>
                <pt idx="64">
                  <v>0.3964836978951712</v>
                </pt>
                <pt idx="65">
                  <v>0.3964727893028118</v>
                </pt>
                <pt idx="66">
                  <v>0.3971429750474565</v>
                </pt>
                <pt idx="67">
                  <v>0.3963287482806052</v>
                </pt>
                <pt idx="68">
                  <v>0.3957153860966686</v>
                </pt>
                <pt idx="69">
                  <v>0.3925918794014084</v>
                </pt>
                <pt idx="70">
                  <v>0.3915770362831128</v>
                </pt>
                <pt idx="71">
                  <v>0.3884110787172012</v>
                </pt>
                <pt idx="72">
                  <v>0.3910104788360516</v>
                </pt>
                <pt idx="73">
                  <v>0.3869843234323432</v>
                </pt>
                <pt idx="74">
                  <v>0.3839410939691444</v>
                </pt>
                <pt idx="75">
                  <v>0.3783095919040809</v>
                </pt>
                <pt idx="76">
                  <v>0.3804069847380723</v>
                </pt>
                <pt idx="77">
                  <v>0.3805972611780234</v>
                </pt>
                <pt idx="78">
                  <v>0.3818915500316221</v>
                </pt>
                <pt idx="79">
                  <v>0.3832650536156172</v>
                </pt>
                <pt idx="80">
                  <v>0.3782367820516345</v>
                </pt>
                <pt idx="81">
                  <v>0.3763196964698119</v>
                </pt>
                <pt idx="82">
                  <v>0.3793198251450251</v>
                </pt>
                <pt idx="83">
                  <v>0.3763993511849123</v>
                </pt>
                <pt idx="84">
                  <v>0.3701473458504</v>
                </pt>
                <pt idx="85">
                  <v>0.3637157072956183</v>
                </pt>
                <pt idx="86">
                  <v>0.3511641331537426</v>
                </pt>
                <pt idx="87">
                  <v>0.3506528312259484</v>
                </pt>
                <pt idx="88">
                  <v>0.3562615101289134</v>
                </pt>
                <pt idx="89">
                  <v>0.3659630606860158</v>
                </pt>
                <pt idx="90">
                  <v>0.3676583757042737</v>
                </pt>
                <pt idx="91">
                  <v>0.3695542241521464</v>
                </pt>
                <pt idx="92">
                  <v>0.368340341330695</v>
                </pt>
                <pt idx="93">
                  <v>0.3711388369792239</v>
                </pt>
                <pt idx="94">
                  <v>0.3766247149020362</v>
                </pt>
                <pt idx="95">
                  <v>0.3736054627390635</v>
                </pt>
                <pt idx="96">
                  <v>0.3650601747540803</v>
                </pt>
                <pt idx="97">
                  <v>0.3660530292622613</v>
                </pt>
                <pt idx="98">
                  <v>0.3628138908731249</v>
                </pt>
                <pt idx="99">
                  <v>0.3589933789389818</v>
                </pt>
                <pt idx="100">
                  <v>0.360989010989011</v>
                </pt>
                <pt idx="101">
                  <v>0.3625436066474385</v>
                </pt>
                <pt idx="102">
                  <v>0.3599269351205845</v>
                </pt>
                <pt idx="103">
                  <v>0.3588142390199687</v>
                </pt>
                <pt idx="104">
                  <v>0.3597066578773896</v>
                </pt>
                <pt idx="105">
                  <v>0.3570902798758548</v>
                </pt>
                <pt idx="106">
                  <v>0.3633760848072064</v>
                </pt>
                <pt idx="107">
                  <v>0.364869689396644</v>
                </pt>
                <pt idx="108">
                  <v>0.3645589608392376</v>
                </pt>
                <pt idx="109">
                  <v>0.3618426472607442</v>
                </pt>
                <pt idx="110">
                  <v>0.3628350175746925</v>
                </pt>
                <pt idx="111">
                  <v>0.362805129190807</v>
                </pt>
                <pt idx="112">
                  <v>0.3622940691927512</v>
                </pt>
                <pt idx="113">
                  <v>0.3647895444935614</v>
                </pt>
                <pt idx="114">
                  <v>0.3667838119817693</v>
                </pt>
                <pt idx="115">
                  <v>0.3662726848419954</v>
                </pt>
                <pt idx="116">
                  <v>0.3691484104760336</v>
                </pt>
                <pt idx="117">
                  <v>0.3705410821643286</v>
                </pt>
                <pt idx="118">
                  <v>0.3732362468430878</v>
                </pt>
                <pt idx="119">
                  <v>0.3687172307776771</v>
                </pt>
                <pt idx="120">
                  <v>0.3692080702717541</v>
                </pt>
                <pt idx="121">
                  <v>0.368376197403453</v>
                </pt>
                <pt idx="122">
                  <v>0.3681657243234341</v>
                </pt>
                <pt idx="123">
                  <v>0.3666529435981886</v>
                </pt>
                <pt idx="124">
                  <v>0.3660418267647382</v>
                </pt>
                <pt idx="125">
                  <v>0.3636276312539451</v>
                </pt>
                <pt idx="126">
                  <v>0.3645993413830955</v>
                </pt>
                <pt idx="127">
                  <v>0.3604826980598776</v>
                </pt>
                <pt idx="128">
                  <v>0.3636778991273805</v>
                </pt>
                <pt idx="129">
                  <v>0.3650701094860467</v>
                </pt>
                <pt idx="130">
                  <v>0.3747749972560641</v>
                </pt>
                <pt idx="131">
                  <v>0.381053310286169</v>
                </pt>
                <pt idx="132">
                  <v>0.3805421422300264</v>
                </pt>
                <pt idx="133">
                  <v>0.3750240061455733</v>
                </pt>
                <pt idx="134">
                  <v>0.3734115226337448</v>
                </pt>
                <pt idx="135">
                  <v>0.36979643905517</v>
                </pt>
                <pt idx="136">
                  <v>0.3781558591178407</v>
                </pt>
                <pt idx="137">
                  <v>0.3814493787201361</v>
                </pt>
                <pt idx="138">
                  <v>0.3768336167644961</v>
                </pt>
                <pt idx="139">
                  <v>0.3764021831546036</v>
                </pt>
                <pt idx="140">
                  <v>0.3788944654709012</v>
                </pt>
                <pt idx="141">
                  <v>0.3838891479033541</v>
                </pt>
                <pt idx="142">
                  <v>0.3823771390960948</v>
                </pt>
                <pt idx="143">
                  <v>0.3808652132181544</v>
                </pt>
                <pt idx="144">
                  <v>0.3820349347373039</v>
                </pt>
                <pt idx="145">
                  <v>0.3878293893443747</v>
                </pt>
                <pt idx="146">
                  <v>0.3933232794077324</v>
                </pt>
                <pt idx="147">
                  <v>0.3953140851635546</v>
                </pt>
                <pt idx="148">
                  <v>0.399306317174819</v>
                </pt>
                <pt idx="149">
                  <v>0.3987731322823852</v>
                </pt>
                <pt idx="150">
                  <v>0.3972612128522864</v>
                </pt>
                <pt idx="151">
                  <v>0.3951489979987389</v>
                </pt>
                <pt idx="152">
                  <v>0.3934371401940896</v>
                </pt>
                <pt idx="153">
                  <v>0.3923257216480715</v>
                </pt>
                <pt idx="154">
                  <v>0.3861798645944687</v>
                </pt>
                <pt idx="155">
                  <v>0.3856690604100427</v>
                </pt>
                <pt idx="156">
                  <v>0.3817568863916678</v>
                </pt>
                <pt idx="157">
                  <v>0.3746436989530231</v>
                </pt>
                <pt idx="158">
                  <v>0.3725122639699636</v>
                </pt>
                <pt idx="159">
                  <v>0.3673006303096739</v>
                </pt>
                <pt idx="160">
                  <v>0.3636896769066345</v>
                </pt>
                <pt idx="161">
                  <v>0.3625794694727612</v>
                </pt>
                <pt idx="162">
                  <v>0.3650700134272326</v>
                </pt>
                <pt idx="163">
                  <v>0.3640398947829899</v>
                </pt>
                <pt idx="164">
                  <v>0.3630298380688823</v>
                </pt>
                <pt idx="165">
                  <v>0.3560195079182421</v>
                </pt>
                <pt idx="166">
                  <v>0.3554097372530754</v>
                </pt>
                <pt idx="167">
                  <v>0.357970577760732</v>
                </pt>
                <pt idx="168">
                  <v>0.3604604974797282</v>
                </pt>
                <pt idx="169">
                  <v>0.3639501438159156</v>
                </pt>
                <pt idx="170">
                  <v>0.3636402235249</v>
                </pt>
                <pt idx="171">
                  <v>0.3639302051661325</v>
                </pt>
                <pt idx="172">
                  <v>0.3658997534921939</v>
                </pt>
                <pt idx="173">
                  <v>0.3698885267453644</v>
                </pt>
                <pt idx="174">
                  <v>0.3718777388255916</v>
                </pt>
                <pt idx="175">
                  <v>0.3718675540218553</v>
                </pt>
                <pt idx="176">
                  <v>0.3698581366051378</v>
                </pt>
                <pt idx="177">
                  <v>0.3704274721362653</v>
                </pt>
                <pt idx="178">
                  <v>0.3703173777315296</v>
                </pt>
                <pt idx="179">
                  <v>0.3696076015224951</v>
                </pt>
                <pt idx="180">
                  <v>0.3683981380065717</v>
                </pt>
                <pt idx="181">
                  <v>0.3677883957175324</v>
                </pt>
                <pt idx="182">
                  <v>0.3672685704898283</v>
                </pt>
                <pt idx="183">
                  <v>0.366259172051254</v>
                </pt>
                <pt idx="184">
                  <v>0.364050650239562</v>
                </pt>
                <pt idx="185">
                  <v>0.3627416087170782</v>
                </pt>
                <pt idx="186">
                  <v>0.3622320475264872</v>
                </pt>
                <pt idx="187">
                  <v>0.360893487722756</v>
                </pt>
                <pt idx="188">
                  <v>0.3646802803022008</v>
                </pt>
                <pt idx="189">
                  <v>0.3661689431472915</v>
                </pt>
                <pt idx="190">
                  <v>0.3698554770898342</v>
                </pt>
                <pt idx="191">
                  <v>0.3611536882441495</v>
                </pt>
                <pt idx="192">
                  <v>0.3605147924135855</v>
                </pt>
                <pt idx="193">
                  <v>0.3596059113300493</v>
                </pt>
                <pt idx="194">
                  <v>0.3610943871267891</v>
                </pt>
                <pt idx="195">
                  <v>0.3616838158830935</v>
                </pt>
                <pt idx="196">
                  <v>0.3640511697906691</v>
                </pt>
                <pt idx="197">
                  <v>0.3665380616209709</v>
                </pt>
                <pt idx="198">
                  <v>0.3665280323966399</v>
                </pt>
                <pt idx="199">
                  <v>0.365319579730765</v>
                </pt>
                <pt idx="200">
                  <v>0.3665079755944075</v>
                </pt>
                <pt idx="201">
                  <v>0.37206992777413</v>
                </pt>
                <pt idx="202">
                  <v>0.3751552540147183</v>
                </pt>
                <pt idx="203">
                  <v>0.3788395250861739</v>
                </pt>
                <pt idx="204">
                  <v>0.3834222404595815</v>
                </pt>
                <pt idx="205">
                  <v>0.3844102199365357</v>
                </pt>
                <pt idx="206">
                  <v>0.3853770617358243</v>
                </pt>
                <pt idx="207">
                  <v>0.3893599562363239</v>
                </pt>
                <pt idx="208">
                  <v>0.3873526435272558</v>
                </pt>
                <pt idx="209">
                  <v>0.3863437448717248</v>
                </pt>
                <pt idx="210">
                  <v>0.3883297322429778</v>
                </pt>
                <pt idx="211">
                  <v>0.395285237652464</v>
                </pt>
                <pt idx="212">
                  <v>0.3927790083955479</v>
                </pt>
                <pt idx="213">
                  <v>0.3972598993655655</v>
                </pt>
                <pt idx="214">
                  <v>0.4012414886926085</v>
                </pt>
                <pt idx="215">
                  <v>0.4002324309543342</v>
                </pt>
                <pt idx="216">
                  <v>0.3992015968063872</v>
                </pt>
                <pt idx="217">
                  <v>0.3971947284956526</v>
                </pt>
                <pt idx="218">
                  <v>0.395187969924812</v>
                </pt>
                <pt idx="219">
                  <v>0.3921833989501312</v>
                </pt>
                <pt idx="220">
                  <v>0.3847882549142904</v>
                </pt>
                <pt idx="221">
                  <v>0.3836591033351558</v>
                </pt>
                <pt idx="222">
                  <v>0.3836486154014379</v>
                </pt>
                <pt idx="223">
                  <v>0.3881280411131157</v>
                </pt>
                <pt idx="224">
                  <v>0.3891151627805265</v>
                </pt>
                <pt idx="225">
                  <v>0.3811228952547562</v>
                </pt>
                <pt idx="226">
                  <v>0.3805928335201028</v>
                </pt>
                <pt idx="227">
                  <v>0.3840740133377064</v>
                </pt>
                <pt idx="228">
                  <v>0.379075678482604</v>
                </pt>
                <pt idx="229">
                  <v>0.3735788466794207</v>
                </pt>
                <pt idx="230">
                  <v>0.3755226123787402</v>
                </pt>
                <pt idx="231">
                  <v>0.3690294021204503</v>
                </pt>
                <pt idx="232">
                  <v>0.3730087165614668</v>
                </pt>
                <pt idx="233">
                  <v>0.3739958467675829</v>
                </pt>
                <pt idx="234">
                  <v>0.3691784377476026</v>
                </pt>
              </numCache>
            </numRef>
          </val>
          <smooth val="0"/>
        </ser>
        <ser>
          <idx val="1"/>
          <order val="1"/>
          <tx>
            <strRef>
              <f>'Grafico Paridades'!$C$1:$C$2</f>
              <strCache>
                <ptCount val="1"/>
                <pt idx="0">
                  <v>Suma de P30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Paridades'!$A$3:$A$238</f>
              <strCache>
                <ptCount val="235"/>
                <pt idx="0">
                  <v>28/10/2020</v>
                </pt>
                <pt idx="1">
                  <v>29/10/2020</v>
                </pt>
                <pt idx="2">
                  <v>30/10/2020</v>
                </pt>
                <pt idx="3">
                  <v>2/11/2020</v>
                </pt>
                <pt idx="4">
                  <v>3/11/2020</v>
                </pt>
                <pt idx="5">
                  <v>4/11/2020</v>
                </pt>
                <pt idx="6">
                  <v>5/11/2020</v>
                </pt>
                <pt idx="7">
                  <v>6/11/2020</v>
                </pt>
                <pt idx="8">
                  <v>9/11/2020</v>
                </pt>
                <pt idx="9">
                  <v>10/11/2020</v>
                </pt>
                <pt idx="10">
                  <v>11/11/2020</v>
                </pt>
                <pt idx="11">
                  <v>12/11/2020</v>
                </pt>
                <pt idx="12">
                  <v>13/11/2020</v>
                </pt>
                <pt idx="13">
                  <v>16/11/2020</v>
                </pt>
                <pt idx="14">
                  <v>17/11/2020</v>
                </pt>
                <pt idx="15">
                  <v>18/11/2020</v>
                </pt>
                <pt idx="16">
                  <v>19/11/2020</v>
                </pt>
                <pt idx="17">
                  <v>20/11/2020</v>
                </pt>
                <pt idx="18">
                  <v>24/11/2020</v>
                </pt>
                <pt idx="19">
                  <v>25/11/2020</v>
                </pt>
                <pt idx="20">
                  <v>26/11/2020</v>
                </pt>
                <pt idx="21">
                  <v>27/11/2020</v>
                </pt>
                <pt idx="22">
                  <v>30/11/2020</v>
                </pt>
                <pt idx="23">
                  <v>1/12/2020</v>
                </pt>
                <pt idx="24">
                  <v>2/12/2020</v>
                </pt>
                <pt idx="25">
                  <v>3/12/2020</v>
                </pt>
                <pt idx="26">
                  <v>4/12/2020</v>
                </pt>
                <pt idx="27">
                  <v>9/12/2020</v>
                </pt>
                <pt idx="28">
                  <v>10/12/2020</v>
                </pt>
                <pt idx="29">
                  <v>11/12/2020</v>
                </pt>
                <pt idx="30">
                  <v>14/12/2020</v>
                </pt>
                <pt idx="31">
                  <v>15/12/2020</v>
                </pt>
                <pt idx="32">
                  <v>16/12/2020</v>
                </pt>
                <pt idx="33">
                  <v>17/12/2020</v>
                </pt>
                <pt idx="34">
                  <v>18/12/2020</v>
                </pt>
                <pt idx="35">
                  <v>21/12/2020</v>
                </pt>
                <pt idx="36">
                  <v>22/12/2020</v>
                </pt>
                <pt idx="37">
                  <v>23/12/2020</v>
                </pt>
                <pt idx="38">
                  <v>28/12/2020</v>
                </pt>
                <pt idx="39">
                  <v>29/12/2020</v>
                </pt>
                <pt idx="40">
                  <v>30/12/2020</v>
                </pt>
                <pt idx="41">
                  <v>4/1/2021</v>
                </pt>
                <pt idx="42">
                  <v>5/1/2021</v>
                </pt>
                <pt idx="43">
                  <v>6/1/2021</v>
                </pt>
                <pt idx="44">
                  <v>7/1/2021</v>
                </pt>
                <pt idx="45">
                  <v>8/1/2021</v>
                </pt>
                <pt idx="46">
                  <v>11/1/2021</v>
                </pt>
                <pt idx="47">
                  <v>12/1/2021</v>
                </pt>
                <pt idx="48">
                  <v>13/1/2021</v>
                </pt>
                <pt idx="49">
                  <v>14/1/2021</v>
                </pt>
                <pt idx="50">
                  <v>15/1/2021</v>
                </pt>
                <pt idx="51">
                  <v>18/1/2021</v>
                </pt>
                <pt idx="52">
                  <v>19/1/2021</v>
                </pt>
                <pt idx="53">
                  <v>20/1/2021</v>
                </pt>
                <pt idx="54">
                  <v>21/1/2021</v>
                </pt>
                <pt idx="55">
                  <v>22/1/2021</v>
                </pt>
                <pt idx="56">
                  <v>25/1/2021</v>
                </pt>
                <pt idx="57">
                  <v>26/1/2021</v>
                </pt>
                <pt idx="58">
                  <v>27/1/2021</v>
                </pt>
                <pt idx="59">
                  <v>28/1/2021</v>
                </pt>
                <pt idx="60">
                  <v>29/1/2021</v>
                </pt>
                <pt idx="61">
                  <v>1/2/2021</v>
                </pt>
                <pt idx="62">
                  <v>2/2/2021</v>
                </pt>
                <pt idx="63">
                  <v>3/2/2021</v>
                </pt>
                <pt idx="64">
                  <v>4/2/2021</v>
                </pt>
                <pt idx="65">
                  <v>5/2/2021</v>
                </pt>
                <pt idx="66">
                  <v>8/2/2021</v>
                </pt>
                <pt idx="67">
                  <v>9/2/2021</v>
                </pt>
                <pt idx="68">
                  <v>10/2/2021</v>
                </pt>
                <pt idx="69">
                  <v>11/2/2021</v>
                </pt>
                <pt idx="70">
                  <v>12/2/2021</v>
                </pt>
                <pt idx="71">
                  <v>17/2/2021</v>
                </pt>
                <pt idx="72">
                  <v>18/2/2021</v>
                </pt>
                <pt idx="73">
                  <v>19/2/2021</v>
                </pt>
                <pt idx="74">
                  <v>22/2/2021</v>
                </pt>
                <pt idx="75">
                  <v>23/2/2021</v>
                </pt>
                <pt idx="76">
                  <v>24/2/2021</v>
                </pt>
                <pt idx="77">
                  <v>25/2/2021</v>
                </pt>
                <pt idx="78">
                  <v>26/2/2021</v>
                </pt>
                <pt idx="79">
                  <v>1/3/2021</v>
                </pt>
                <pt idx="80">
                  <v>2/3/2021</v>
                </pt>
                <pt idx="81">
                  <v>3/3/2021</v>
                </pt>
                <pt idx="82">
                  <v>4/3/2021</v>
                </pt>
                <pt idx="83">
                  <v>5/3/2021</v>
                </pt>
                <pt idx="84">
                  <v>8/3/2021</v>
                </pt>
                <pt idx="85">
                  <v>9/3/2021</v>
                </pt>
                <pt idx="86">
                  <v>10/3/2021</v>
                </pt>
                <pt idx="87">
                  <v>11/3/2021</v>
                </pt>
                <pt idx="88">
                  <v>12/3/2021</v>
                </pt>
                <pt idx="89">
                  <v>15/3/2021</v>
                </pt>
                <pt idx="90">
                  <v>16/3/2021</v>
                </pt>
                <pt idx="91">
                  <v>17/3/2021</v>
                </pt>
                <pt idx="92">
                  <v>18/3/2021</v>
                </pt>
                <pt idx="93">
                  <v>19/3/2021</v>
                </pt>
                <pt idx="94">
                  <v>22/3/2021</v>
                </pt>
                <pt idx="95">
                  <v>23/3/2021</v>
                </pt>
                <pt idx="96">
                  <v>25/3/2021</v>
                </pt>
                <pt idx="97">
                  <v>26/3/2021</v>
                </pt>
                <pt idx="98">
                  <v>29/3/2021</v>
                </pt>
                <pt idx="99">
                  <v>30/3/2021</v>
                </pt>
                <pt idx="100">
                  <v>31/3/2021</v>
                </pt>
                <pt idx="101">
                  <v>5/4/2021</v>
                </pt>
                <pt idx="102">
                  <v>6/4/2021</v>
                </pt>
                <pt idx="103">
                  <v>7/4/2021</v>
                </pt>
                <pt idx="104">
                  <v>8/4/2021</v>
                </pt>
                <pt idx="105">
                  <v>9/4/2021</v>
                </pt>
                <pt idx="106">
                  <v>12/4/2021</v>
                </pt>
                <pt idx="107">
                  <v>13/4/2021</v>
                </pt>
                <pt idx="108">
                  <v>14/4/2021</v>
                </pt>
                <pt idx="109">
                  <v>15/4/2021</v>
                </pt>
                <pt idx="110">
                  <v>16/4/2021</v>
                </pt>
                <pt idx="111">
                  <v>19/4/2021</v>
                </pt>
                <pt idx="112">
                  <v>20/4/2021</v>
                </pt>
                <pt idx="113">
                  <v>21/4/2021</v>
                </pt>
                <pt idx="114">
                  <v>22/4/2021</v>
                </pt>
                <pt idx="115">
                  <v>23/4/2021</v>
                </pt>
                <pt idx="116">
                  <v>26/4/2021</v>
                </pt>
                <pt idx="117">
                  <v>27/4/2021</v>
                </pt>
                <pt idx="118">
                  <v>28/4/2021</v>
                </pt>
                <pt idx="119">
                  <v>29/4/2021</v>
                </pt>
                <pt idx="120">
                  <v>30/4/2021</v>
                </pt>
                <pt idx="121">
                  <v>3/5/2021</v>
                </pt>
                <pt idx="122">
                  <v>4/5/2021</v>
                </pt>
                <pt idx="123">
                  <v>5/5/2021</v>
                </pt>
                <pt idx="124">
                  <v>6/5/2021</v>
                </pt>
                <pt idx="125">
                  <v>7/5/2021</v>
                </pt>
                <pt idx="126">
                  <v>10/5/2021</v>
                </pt>
                <pt idx="127">
                  <v>11/5/2021</v>
                </pt>
                <pt idx="128">
                  <v>12/5/2021</v>
                </pt>
                <pt idx="129">
                  <v>13/5/2021</v>
                </pt>
                <pt idx="130">
                  <v>14/5/2021</v>
                </pt>
                <pt idx="131">
                  <v>17/5/2021</v>
                </pt>
                <pt idx="132">
                  <v>18/5/2021</v>
                </pt>
                <pt idx="133">
                  <v>19/5/2021</v>
                </pt>
                <pt idx="134">
                  <v>20/5/2021</v>
                </pt>
                <pt idx="135">
                  <v>21/5/2021</v>
                </pt>
                <pt idx="136">
                  <v>26/5/2021</v>
                </pt>
                <pt idx="137">
                  <v>27/5/2021</v>
                </pt>
                <pt idx="138">
                  <v>28/5/2021</v>
                </pt>
                <pt idx="139">
                  <v>31/5/2021</v>
                </pt>
                <pt idx="140">
                  <v>1/6/2021</v>
                </pt>
                <pt idx="141">
                  <v>2/6/2021</v>
                </pt>
                <pt idx="142">
                  <v>3/6/2021</v>
                </pt>
                <pt idx="143">
                  <v>4/6/2021</v>
                </pt>
                <pt idx="144">
                  <v>7/6/2021</v>
                </pt>
                <pt idx="145">
                  <v>8/6/2021</v>
                </pt>
                <pt idx="146">
                  <v>9/6/2021</v>
                </pt>
                <pt idx="147">
                  <v>10/6/2021</v>
                </pt>
                <pt idx="148">
                  <v>11/6/2021</v>
                </pt>
                <pt idx="149">
                  <v>14/6/2021</v>
                </pt>
                <pt idx="150">
                  <v>15/6/2021</v>
                </pt>
                <pt idx="151">
                  <v>16/6/2021</v>
                </pt>
                <pt idx="152">
                  <v>17/6/2021</v>
                </pt>
                <pt idx="153">
                  <v>18/6/2021</v>
                </pt>
                <pt idx="154">
                  <v>22/6/2021</v>
                </pt>
                <pt idx="155">
                  <v>23/6/2021</v>
                </pt>
                <pt idx="156">
                  <v>24/6/2021</v>
                </pt>
                <pt idx="157">
                  <v>25/6/2021</v>
                </pt>
                <pt idx="158">
                  <v>28/6/2021</v>
                </pt>
                <pt idx="159">
                  <v>29/6/2021</v>
                </pt>
                <pt idx="160">
                  <v>30/6/2021</v>
                </pt>
                <pt idx="161">
                  <v>1/7/2021</v>
                </pt>
                <pt idx="162">
                  <v>2/7/2021</v>
                </pt>
                <pt idx="163">
                  <v>5/7/2021</v>
                </pt>
                <pt idx="164">
                  <v>6/7/2021</v>
                </pt>
                <pt idx="165">
                  <v>7/7/2021</v>
                </pt>
                <pt idx="166">
                  <v>8/7/2021</v>
                </pt>
                <pt idx="167">
                  <v>12/7/2021</v>
                </pt>
                <pt idx="168">
                  <v>13/7/2021</v>
                </pt>
                <pt idx="169">
                  <v>14/7/2021</v>
                </pt>
                <pt idx="170">
                  <v>15/7/2021</v>
                </pt>
                <pt idx="171">
                  <v>16/7/2021</v>
                </pt>
                <pt idx="172">
                  <v>19/7/2021</v>
                </pt>
                <pt idx="173">
                  <v>20/7/2021</v>
                </pt>
                <pt idx="174">
                  <v>21/7/2021</v>
                </pt>
                <pt idx="175">
                  <v>22/7/2021</v>
                </pt>
                <pt idx="176">
                  <v>23/7/2021</v>
                </pt>
                <pt idx="177">
                  <v>26/7/2021</v>
                </pt>
                <pt idx="178">
                  <v>27/7/2021</v>
                </pt>
                <pt idx="179">
                  <v>28/7/2021</v>
                </pt>
                <pt idx="180">
                  <v>29/7/2021</v>
                </pt>
                <pt idx="181">
                  <v>30/7/2021</v>
                </pt>
                <pt idx="182">
                  <v>1/8/2021</v>
                </pt>
                <pt idx="183">
                  <v>2/8/2021</v>
                </pt>
                <pt idx="184">
                  <v>3/8/2021</v>
                </pt>
                <pt idx="185">
                  <v>4/8/2021</v>
                </pt>
                <pt idx="186">
                  <v>5/8/2021</v>
                </pt>
                <pt idx="187">
                  <v>9/8/2021</v>
                </pt>
                <pt idx="188">
                  <v>10/8/2021</v>
                </pt>
                <pt idx="189">
                  <v>11/8/2021</v>
                </pt>
                <pt idx="190">
                  <v>12/8/2021</v>
                </pt>
                <pt idx="191">
                  <v>13/8/2021</v>
                </pt>
                <pt idx="192">
                  <v>17/8/2021</v>
                </pt>
                <pt idx="193">
                  <v>18/8/2021</v>
                </pt>
                <pt idx="194">
                  <v>19/8/2021</v>
                </pt>
                <pt idx="195">
                  <v>20/8/2021</v>
                </pt>
                <pt idx="196">
                  <v>23/8/2021</v>
                </pt>
                <pt idx="197">
                  <v>24/8/2021</v>
                </pt>
                <pt idx="198">
                  <v>25/8/2021</v>
                </pt>
                <pt idx="199">
                  <v>26/8/2021</v>
                </pt>
                <pt idx="200">
                  <v>27/8/2021</v>
                </pt>
                <pt idx="201">
                  <v>30/8/2021</v>
                </pt>
                <pt idx="202">
                  <v>31/8/2021</v>
                </pt>
                <pt idx="203">
                  <v>1/9/2021</v>
                </pt>
                <pt idx="204">
                  <v>2/9/2021</v>
                </pt>
                <pt idx="205">
                  <v>3/9/2021</v>
                </pt>
                <pt idx="206">
                  <v>6/9/2021</v>
                </pt>
                <pt idx="207">
                  <v>7/9/2021</v>
                </pt>
                <pt idx="208">
                  <v>8/9/2021</v>
                </pt>
                <pt idx="209">
                  <v>9/9/2021</v>
                </pt>
                <pt idx="210">
                  <v>10/9/2021</v>
                </pt>
                <pt idx="211">
                  <v>13/9/2021</v>
                </pt>
                <pt idx="212">
                  <v>14/9/2021</v>
                </pt>
                <pt idx="213">
                  <v>15/9/2021</v>
                </pt>
                <pt idx="214">
                  <v>16/9/2021</v>
                </pt>
                <pt idx="215">
                  <v>17/9/2021</v>
                </pt>
                <pt idx="216">
                  <v>20/9/2021</v>
                </pt>
                <pt idx="217">
                  <v>21/9/2021</v>
                </pt>
                <pt idx="218">
                  <v>22/9/2021</v>
                </pt>
                <pt idx="219">
                  <v>23/9/2021</v>
                </pt>
                <pt idx="220">
                  <v>24/9/2021</v>
                </pt>
                <pt idx="221">
                  <v>27/9/2021</v>
                </pt>
                <pt idx="222">
                  <v>28/9/2021</v>
                </pt>
                <pt idx="223">
                  <v>29/9/2021</v>
                </pt>
                <pt idx="224">
                  <v>30/9/2021</v>
                </pt>
                <pt idx="225">
                  <v>1/10/2021</v>
                </pt>
                <pt idx="226">
                  <v>4/10/2021</v>
                </pt>
                <pt idx="227">
                  <v>5/10/2021</v>
                </pt>
                <pt idx="228">
                  <v>6/10/2021</v>
                </pt>
                <pt idx="229">
                  <v>7/10/2021</v>
                </pt>
                <pt idx="230">
                  <v>12/10/2021</v>
                </pt>
                <pt idx="231">
                  <v>13/10/2021</v>
                </pt>
                <pt idx="232">
                  <v>14/10/2021</v>
                </pt>
                <pt idx="233">
                  <v>15/10/2021</v>
                </pt>
                <pt idx="234">
                  <v>18/10/2021</v>
                </pt>
              </strCache>
            </strRef>
          </cat>
          <val>
            <numRef>
              <f>'Grafico Paridades'!$C$3:$C$238</f>
              <numCache>
                <formatCode>0.00%</formatCode>
                <ptCount val="235"/>
                <pt idx="0">
                  <v>0.388337800689641</v>
                </pt>
                <pt idx="1">
                  <v>0.3877359492985361</v>
                </pt>
                <pt idx="2">
                  <v>0.3808286603507136</v>
                </pt>
                <pt idx="3">
                  <v>0.386729779846513</v>
                </pt>
                <pt idx="4">
                  <v>0.384126244207409</v>
                </pt>
                <pt idx="5">
                  <v>0.3842250122535158</v>
                </pt>
                <pt idx="6">
                  <v>0.3802203226005471</v>
                </pt>
                <pt idx="7">
                  <v>0.3803191033572689</v>
                </pt>
                <pt idx="8">
                  <v>0.3838180958191378</v>
                </pt>
                <pt idx="9">
                  <v>0.3843171932999496</v>
                </pt>
                <pt idx="10">
                  <v>0.3923224568138196</v>
                </pt>
                <pt idx="11">
                  <v>0.3950233238849606</v>
                </pt>
                <pt idx="12">
                  <v>0.3993254776153166</v>
                </pt>
                <pt idx="13">
                  <v>0.4029242712456943</v>
                </pt>
                <pt idx="14">
                  <v>0.4021222486513165</v>
                </pt>
                <pt idx="15">
                  <v>0.3977173566578812</v>
                </pt>
                <pt idx="16">
                  <v>0.3946135285569357</v>
                </pt>
                <pt idx="17">
                  <v>0.390809167526365</v>
                </pt>
                <pt idx="18">
                  <v>0.3888022538068979</v>
                </pt>
                <pt idx="19">
                  <v>0.3923036322633272</v>
                </pt>
                <pt idx="20">
                  <v>0.3903007454374089</v>
                </pt>
                <pt idx="21">
                  <v>0.3903994845360825</v>
                </pt>
                <pt idx="22">
                  <v>0.3863924408542082</v>
                </pt>
                <pt idx="23">
                  <v>0.3850901364041401</v>
                </pt>
                <pt idx="24">
                  <v>0.386790092569427</v>
                </pt>
                <pt idx="25">
                  <v>0.3886901865091061</v>
                </pt>
                <pt idx="26">
                  <v>0.3862870695002794</v>
                </pt>
                <pt idx="27">
                  <v>0.3914842282753231</v>
                </pt>
                <pt idx="28">
                  <v>0.3969868637954138</v>
                </pt>
                <pt idx="29">
                  <v>0.3987867987251105</v>
                </pt>
                <pt idx="30">
                  <v>0.4035861038475906</v>
                </pt>
                <pt idx="31">
                  <v>0.4005826027951226</v>
                </pt>
                <pt idx="32">
                  <v>0.3980794736030432</v>
                </pt>
                <pt idx="33">
                  <v>0.3986785288352137</v>
                </pt>
                <pt idx="34">
                  <v>0.4024798061666158</v>
                </pt>
                <pt idx="35">
                  <v>0.4076792323509253</v>
                </pt>
                <pt idx="36">
                  <v>0.4073776306455427</v>
                </pt>
                <pt idx="37">
                  <v>0.4064756238819473</v>
                </pt>
                <pt idx="38">
                  <v>0.4092705109884273</v>
                </pt>
                <pt idx="39">
                  <v>0.4095693058449391</v>
                </pt>
                <pt idx="40">
                  <v>0.4096679677460257</v>
                </pt>
                <pt idx="41">
                  <v>0.4057584625823298</v>
                </pt>
                <pt idx="42">
                  <v>0.4027551702277128</v>
                </pt>
                <pt idx="43">
                  <v>0.4012528442580256</v>
                </pt>
                <pt idx="44">
                  <v>0.3957480201633215</v>
                </pt>
                <pt idx="45">
                  <v>0.3952463521784126</v>
                </pt>
                <pt idx="46">
                  <v>0.3906394673447079</v>
                </pt>
                <pt idx="47">
                  <v>0.3906381287223033</v>
                </pt>
                <pt idx="48">
                  <v>0.3900364261898479</v>
                </pt>
                <pt idx="49">
                  <v>0.3877337025056198</v>
                </pt>
                <pt idx="50">
                  <v>0.387132014049516</v>
                </pt>
                <pt idx="51">
                  <v>0.3882286826486834</v>
                </pt>
                <pt idx="52">
                  <v>0.3881272937233791</v>
                </pt>
                <pt idx="53">
                  <v>0.3876256724805537</v>
                </pt>
                <pt idx="54">
                  <v>0.3871240546754799</v>
                </pt>
                <pt idx="55">
                  <v>0.3871227281449601</v>
                </pt>
                <pt idx="56">
                  <v>0.3861181832199702</v>
                </pt>
                <pt idx="57">
                  <v>0.3860168039583876</v>
                </pt>
                <pt idx="58">
                  <v>0.3845146434482262</v>
                </pt>
                <pt idx="59">
                  <v>0.382912437722298</v>
                </pt>
                <pt idx="60">
                  <v>0.3816104084786475</v>
                </pt>
                <pt idx="61">
                  <v>0.3811062150067502</v>
                </pt>
                <pt idx="62">
                  <v>0.3799042635937816</v>
                </pt>
                <pt idx="63">
                  <v>0.3780019462452543</v>
                </pt>
                <pt idx="64">
                  <v>0.3765999074851377</v>
                </pt>
                <pt idx="65">
                  <v>0.3763985115437594</v>
                </pt>
                <pt idx="66">
                  <v>0.3766947976522105</v>
                </pt>
                <pt idx="67">
                  <v>0.3753928387870482</v>
                </pt>
                <pt idx="68">
                  <v>0.374691195164656</v>
                </pt>
                <pt idx="69">
                  <v>0.3702876800570152</v>
                </pt>
                <pt idx="70">
                  <v>0.3646835907117625</v>
                </pt>
                <pt idx="71">
                  <v>0.3615758348237842</v>
                </pt>
                <pt idx="72">
                  <v>0.3676775429231238</v>
                </pt>
                <pt idx="73">
                  <v>0.3620735969300349</v>
                </pt>
                <pt idx="74">
                  <v>0.3636706262869908</v>
                </pt>
                <pt idx="75">
                  <v>0.3576665844365869</v>
                </pt>
                <pt idx="76">
                  <v>0.3609668853750878</v>
                </pt>
                <pt idx="77">
                  <v>0.3648674391672891</v>
                </pt>
                <pt idx="78">
                  <v>0.3679676016815879</v>
                </pt>
                <pt idx="79">
                  <v>0.3679638195086854</v>
                </pt>
                <pt idx="80">
                  <v>0.3630603931188778</v>
                </pt>
                <pt idx="81">
                  <v>0.3623588422322114</v>
                </pt>
                <pt idx="82">
                  <v>0.3639582969305143</v>
                </pt>
                <pt idx="83">
                  <v>0.3576543302932087</v>
                </pt>
                <pt idx="84">
                  <v>0.3571504435087383</v>
                </pt>
                <pt idx="85">
                  <v>0.3515468791755459</v>
                </pt>
                <pt idx="86">
                  <v>0.3352389174966339</v>
                </pt>
                <pt idx="87">
                  <v>0.3352377689461422</v>
                </pt>
                <pt idx="88">
                  <v>0.344040208167027</v>
                </pt>
                <pt idx="89">
                  <v>0.3497389373860849</v>
                </pt>
                <pt idx="90">
                  <v>0.3541394727375508</v>
                </pt>
                <pt idx="91">
                  <v>0.358139821711216</v>
                </pt>
                <pt idx="92">
                  <v>0.358338672157376</v>
                </pt>
                <pt idx="93">
                  <v>0.3593378282080798</v>
                </pt>
                <pt idx="94">
                  <v>0.3642359647950776</v>
                </pt>
                <pt idx="95">
                  <v>0.3601331999506667</v>
                </pt>
                <pt idx="96">
                  <v>0.3534282993141346</v>
                </pt>
                <pt idx="97">
                  <v>0.3533270525360147</v>
                </pt>
                <pt idx="98">
                  <v>0.346821149853716</v>
                </pt>
                <pt idx="99">
                  <v>0.3430186468607292</v>
                </pt>
                <pt idx="100">
                  <v>0.3406166495375128</v>
                </pt>
                <pt idx="101">
                  <v>0.3486134187492506</v>
                </pt>
                <pt idx="102">
                  <v>0.3464115160359842</v>
                </pt>
                <pt idx="103">
                  <v>0.3458101381604415</v>
                </pt>
                <pt idx="104">
                  <v>0.3440083862038725</v>
                </pt>
                <pt idx="105">
                  <v>0.341906553069621</v>
                </pt>
                <pt idx="106">
                  <v>0.346604456137466</v>
                </pt>
                <pt idx="107">
                  <v>0.3483037754399427</v>
                </pt>
                <pt idx="108">
                  <v>0.3458018457490905</v>
                </pt>
                <pt idx="109">
                  <v>0.3425997293732765</v>
                </pt>
                <pt idx="110">
                  <v>0.3420984118719084</v>
                </pt>
                <pt idx="111">
                  <v>0.3437953678931484</v>
                </pt>
                <pt idx="112">
                  <v>0.3426938887366401</v>
                </pt>
                <pt idx="113">
                  <v>0.3435929583688738</v>
                </pt>
                <pt idx="114">
                  <v>0.3437918348051877</v>
                </pt>
                <pt idx="115">
                  <v>0.3422902614730597</v>
                </pt>
                <pt idx="116">
                  <v>0.3487883915786877</v>
                </pt>
                <pt idx="117">
                  <v>0.3525881470367592</v>
                </pt>
                <pt idx="118">
                  <v>0.3535871858814502</v>
                </pt>
                <pt idx="119">
                  <v>0.3523856828201378</v>
                </pt>
                <pt idx="120">
                  <v>0.3516843078820265</v>
                </pt>
                <pt idx="121">
                  <v>0.3518807397587803</v>
                </pt>
                <pt idx="122">
                  <v>0.3512793987682147</v>
                </pt>
                <pt idx="123">
                  <v>0.3504780173668796</v>
                </pt>
                <pt idx="124">
                  <v>0.3477762249260112</v>
                </pt>
                <pt idx="125">
                  <v>0.3430740193945954</v>
                </pt>
                <pt idx="126">
                  <v>0.3440706994587929</v>
                </pt>
                <pt idx="127">
                  <v>0.3382683487416978</v>
                </pt>
                <pt idx="128">
                  <v>0.3411677662001356</v>
                </pt>
                <pt idx="129">
                  <v>0.3422668123572067</v>
                </pt>
                <pt idx="130">
                  <v>0.3509673087989478</v>
                </pt>
                <pt idx="131">
                  <v>0.3570648097086115</v>
                </pt>
                <pt idx="132">
                  <v>0.3570635866661186</v>
                </pt>
                <pt idx="133">
                  <v>0.3507612630973218</v>
                </pt>
                <pt idx="134">
                  <v>0.3478595649940058</v>
                </pt>
                <pt idx="135">
                  <v>0.3440577357159249</v>
                </pt>
                <pt idx="136">
                  <v>0.354553425858691</v>
                </pt>
                <pt idx="137">
                  <v>0.3566525207479183</v>
                </pt>
                <pt idx="138">
                  <v>0.353550853204913</v>
                </pt>
                <pt idx="139">
                  <v>0.3530471535581807</v>
                </pt>
                <pt idx="140">
                  <v>0.3560463347969942</v>
                </pt>
                <pt idx="141">
                  <v>0.3630460024044142</v>
                </pt>
                <pt idx="142">
                  <v>0.360544450685701</v>
                </pt>
                <pt idx="143">
                  <v>0.3585429760416489</v>
                </pt>
                <pt idx="144">
                  <v>0.3650400043840421</v>
                </pt>
                <pt idx="145">
                  <v>0.370239306227716</v>
                </pt>
                <pt idx="146">
                  <v>0.3765386854813851</v>
                </pt>
                <pt idx="147">
                  <v>0.3797377136770432</v>
                </pt>
                <pt idx="148">
                  <v>0.3830367295494088</v>
                </pt>
                <pt idx="149">
                  <v>0.3830327939035876</v>
                </pt>
                <pt idx="150">
                  <v>0.3806312847631312</v>
                </pt>
                <pt idx="151">
                  <v>0.3796299023553225</v>
                </pt>
                <pt idx="152">
                  <v>0.3753282781579434</v>
                </pt>
                <pt idx="153">
                  <v>0.3730268272718243</v>
                </pt>
                <pt idx="154">
                  <v>0.3665213385710812</v>
                </pt>
                <pt idx="155">
                  <v>0.3654200230149597</v>
                </pt>
                <pt idx="156">
                  <v>0.3600184941007243</v>
                </pt>
                <pt idx="157">
                  <v>0.3499167768317659</v>
                </pt>
                <pt idx="158">
                  <v>0.3485131289192401</v>
                </pt>
                <pt idx="159">
                  <v>0.3415116956060139</v>
                </pt>
                <pt idx="160">
                  <v>0.3393104581990541</v>
                </pt>
                <pt idx="161">
                  <v>0.3380092605276857</v>
                </pt>
                <pt idx="162">
                  <v>0.3406081652642358</v>
                </pt>
                <pt idx="163">
                  <v>0.3380046302004137</v>
                </pt>
                <pt idx="164">
                  <v>0.3377034695561941</v>
                </pt>
                <pt idx="165">
                  <v>0.3376023123446051</v>
                </pt>
                <pt idx="166">
                  <v>0.3386011595930123</v>
                </pt>
                <pt idx="167">
                  <v>0.3428964770909888</v>
                </pt>
                <pt idx="168">
                  <v>0.3474952397912358</v>
                </pt>
                <pt idx="169">
                  <v>0.3508939915412408</v>
                </pt>
                <pt idx="170">
                  <v>0.3528927487791347</v>
                </pt>
                <pt idx="171">
                  <v>0.3556914731496163</v>
                </pt>
                <pt idx="172">
                  <v>0.3583877264477244</v>
                </pt>
                <pt idx="173">
                  <v>0.3618863672943827</v>
                </pt>
                <pt idx="174">
                  <v>0.3631850745859759</v>
                </pt>
                <pt idx="175">
                  <v>0.3629838397605586</v>
                </pt>
                <pt idx="176">
                  <v>0.3627826063133959</v>
                </pt>
                <pt idx="177">
                  <v>0.3621789142412942</v>
                </pt>
                <pt idx="178">
                  <v>0.3611777356190372</v>
                </pt>
                <pt idx="179">
                  <v>0.3600765703601478</v>
                </pt>
                <pt idx="180">
                  <v>0.3590754057941237</v>
                </pt>
                <pt idx="181">
                  <v>0.3586742049373161</v>
                </pt>
                <pt idx="182">
                  <v>0.357771819342997</v>
                </pt>
                <pt idx="183">
                  <v>0.3558707503492864</v>
                </pt>
                <pt idx="184">
                  <v>0.3540696858145707</v>
                </pt>
                <pt idx="185">
                  <v>0.3518686692280824</v>
                </pt>
                <pt idx="186">
                  <v>0.3496676677156564</v>
                </pt>
                <pt idx="187">
                  <v>0.3509627402570275</v>
                </pt>
                <pt idx="188">
                  <v>0.3534612645189568</v>
                </pt>
                <pt idx="189">
                  <v>0.3552598507702897</v>
                </pt>
                <pt idx="190">
                  <v>0.3567584596314128</v>
                </pt>
                <pt idx="191">
                  <v>0.3511579091547246</v>
                </pt>
                <pt idx="192">
                  <v>0.352652899099093</v>
                </pt>
                <pt idx="193">
                  <v>0.3510519106971648</v>
                </pt>
                <pt idx="194">
                  <v>0.3525504980465071</v>
                </pt>
                <pt idx="195">
                  <v>0.3526492764739318</v>
                </pt>
                <pt idx="196">
                  <v>0.3525456693317811</v>
                </pt>
                <pt idx="197">
                  <v>0.3538442574115037</v>
                </pt>
                <pt idx="198">
                  <v>0.3536430779977195</v>
                </pt>
                <pt idx="199">
                  <v>0.3541417849120693</v>
                </pt>
                <pt idx="200">
                  <v>0.3562402199630884</v>
                </pt>
                <pt idx="201">
                  <v>0.3600358840206538</v>
                </pt>
                <pt idx="202">
                  <v>0.3630341068230766</v>
                </pt>
                <pt idx="203">
                  <v>0.3687318098707774</v>
                </pt>
                <pt idx="204">
                  <v>0.3745294550683946</v>
                </pt>
                <pt idx="205">
                  <v>0.3761278658887336</v>
                </pt>
                <pt idx="206">
                  <v>0.3775237195224252</v>
                </pt>
                <pt idx="207">
                  <v>0.3784222420050675</v>
                </pt>
                <pt idx="208">
                  <v>0.3778210716254481</v>
                </pt>
                <pt idx="209">
                  <v>0.3773198841341907</v>
                </pt>
                <pt idx="210">
                  <v>0.3767187216456723</v>
                </pt>
                <pt idx="211">
                  <v>0.3842131573000623</v>
                </pt>
                <pt idx="212">
                  <v>0.3826122088424916</v>
                </pt>
                <pt idx="213">
                  <v>0.3815111549365216</v>
                </pt>
                <pt idx="214">
                  <v>0.381709801451027</v>
                </pt>
                <pt idx="215">
                  <v>0.3809086862738385</v>
                </pt>
                <pt idx="216">
                  <v>0.3787053236690828</v>
                </pt>
                <pt idx="217">
                  <v>0.3775043310941747</v>
                </pt>
                <pt idx="218">
                  <v>0.3768032183514508</v>
                </pt>
                <pt idx="219">
                  <v>0.3763020583683699</v>
                </pt>
                <pt idx="220">
                  <v>0.3735015081639431</v>
                </pt>
                <pt idx="221">
                  <v>0.3718981101068201</v>
                </pt>
                <pt idx="222">
                  <v>0.3710970586926229</v>
                </pt>
                <pt idx="223">
                  <v>0.3721954793516889</v>
                </pt>
                <pt idx="224">
                  <v>0.3710945176542284</v>
                </pt>
                <pt idx="225">
                  <v>0.3696936497719834</v>
                </pt>
                <pt idx="226">
                  <v>0.368590180322986</v>
                </pt>
                <pt idx="227">
                  <v>0.3667894607104708</v>
                </pt>
                <pt idx="228">
                  <v>0.3636891495400375</v>
                </pt>
                <pt idx="229">
                  <v>0.3637878736006026</v>
                </pt>
                <pt idx="230">
                  <v>0.3615823619028056</v>
                </pt>
                <pt idx="231">
                  <v>0.3609813212094654</v>
                </pt>
                <pt idx="232">
                  <v>0.3605802182151819</v>
                </pt>
                <pt idx="233">
                  <v>0.3595793192695602</v>
                </pt>
                <pt idx="234">
                  <v>0.358376041163844</v>
                </pt>
              </numCache>
            </numRef>
          </val>
          <smooth val="0"/>
        </ser>
        <ser>
          <idx val="2"/>
          <order val="2"/>
          <tx>
            <strRef>
              <f>'Grafico Paridades'!$D$1:$D$2</f>
              <strCache>
                <ptCount val="1"/>
                <pt idx="0">
                  <v>Suma de PG29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Paridades'!$A$3:$A$238</f>
              <strCache>
                <ptCount val="235"/>
                <pt idx="0">
                  <v>28/10/2020</v>
                </pt>
                <pt idx="1">
                  <v>29/10/2020</v>
                </pt>
                <pt idx="2">
                  <v>30/10/2020</v>
                </pt>
                <pt idx="3">
                  <v>2/11/2020</v>
                </pt>
                <pt idx="4">
                  <v>3/11/2020</v>
                </pt>
                <pt idx="5">
                  <v>4/11/2020</v>
                </pt>
                <pt idx="6">
                  <v>5/11/2020</v>
                </pt>
                <pt idx="7">
                  <v>6/11/2020</v>
                </pt>
                <pt idx="8">
                  <v>9/11/2020</v>
                </pt>
                <pt idx="9">
                  <v>10/11/2020</v>
                </pt>
                <pt idx="10">
                  <v>11/11/2020</v>
                </pt>
                <pt idx="11">
                  <v>12/11/2020</v>
                </pt>
                <pt idx="12">
                  <v>13/11/2020</v>
                </pt>
                <pt idx="13">
                  <v>16/11/2020</v>
                </pt>
                <pt idx="14">
                  <v>17/11/2020</v>
                </pt>
                <pt idx="15">
                  <v>18/11/2020</v>
                </pt>
                <pt idx="16">
                  <v>19/11/2020</v>
                </pt>
                <pt idx="17">
                  <v>20/11/2020</v>
                </pt>
                <pt idx="18">
                  <v>24/11/2020</v>
                </pt>
                <pt idx="19">
                  <v>25/11/2020</v>
                </pt>
                <pt idx="20">
                  <v>26/11/2020</v>
                </pt>
                <pt idx="21">
                  <v>27/11/2020</v>
                </pt>
                <pt idx="22">
                  <v>30/11/2020</v>
                </pt>
                <pt idx="23">
                  <v>1/12/2020</v>
                </pt>
                <pt idx="24">
                  <v>2/12/2020</v>
                </pt>
                <pt idx="25">
                  <v>3/12/2020</v>
                </pt>
                <pt idx="26">
                  <v>4/12/2020</v>
                </pt>
                <pt idx="27">
                  <v>9/12/2020</v>
                </pt>
                <pt idx="28">
                  <v>10/12/2020</v>
                </pt>
                <pt idx="29">
                  <v>11/12/2020</v>
                </pt>
                <pt idx="30">
                  <v>14/12/2020</v>
                </pt>
                <pt idx="31">
                  <v>15/12/2020</v>
                </pt>
                <pt idx="32">
                  <v>16/12/2020</v>
                </pt>
                <pt idx="33">
                  <v>17/12/2020</v>
                </pt>
                <pt idx="34">
                  <v>18/12/2020</v>
                </pt>
                <pt idx="35">
                  <v>21/12/2020</v>
                </pt>
                <pt idx="36">
                  <v>22/12/2020</v>
                </pt>
                <pt idx="37">
                  <v>23/12/2020</v>
                </pt>
                <pt idx="38">
                  <v>28/12/2020</v>
                </pt>
                <pt idx="39">
                  <v>29/12/2020</v>
                </pt>
                <pt idx="40">
                  <v>30/12/2020</v>
                </pt>
                <pt idx="41">
                  <v>4/1/2021</v>
                </pt>
                <pt idx="42">
                  <v>5/1/2021</v>
                </pt>
                <pt idx="43">
                  <v>6/1/2021</v>
                </pt>
                <pt idx="44">
                  <v>7/1/2021</v>
                </pt>
                <pt idx="45">
                  <v>8/1/2021</v>
                </pt>
                <pt idx="46">
                  <v>11/1/2021</v>
                </pt>
                <pt idx="47">
                  <v>12/1/2021</v>
                </pt>
                <pt idx="48">
                  <v>13/1/2021</v>
                </pt>
                <pt idx="49">
                  <v>14/1/2021</v>
                </pt>
                <pt idx="50">
                  <v>15/1/2021</v>
                </pt>
                <pt idx="51">
                  <v>18/1/2021</v>
                </pt>
                <pt idx="52">
                  <v>19/1/2021</v>
                </pt>
                <pt idx="53">
                  <v>20/1/2021</v>
                </pt>
                <pt idx="54">
                  <v>21/1/2021</v>
                </pt>
                <pt idx="55">
                  <v>22/1/2021</v>
                </pt>
                <pt idx="56">
                  <v>25/1/2021</v>
                </pt>
                <pt idx="57">
                  <v>26/1/2021</v>
                </pt>
                <pt idx="58">
                  <v>27/1/2021</v>
                </pt>
                <pt idx="59">
                  <v>28/1/2021</v>
                </pt>
                <pt idx="60">
                  <v>29/1/2021</v>
                </pt>
                <pt idx="61">
                  <v>1/2/2021</v>
                </pt>
                <pt idx="62">
                  <v>2/2/2021</v>
                </pt>
                <pt idx="63">
                  <v>3/2/2021</v>
                </pt>
                <pt idx="64">
                  <v>4/2/2021</v>
                </pt>
                <pt idx="65">
                  <v>5/2/2021</v>
                </pt>
                <pt idx="66">
                  <v>8/2/2021</v>
                </pt>
                <pt idx="67">
                  <v>9/2/2021</v>
                </pt>
                <pt idx="68">
                  <v>10/2/2021</v>
                </pt>
                <pt idx="69">
                  <v>11/2/2021</v>
                </pt>
                <pt idx="70">
                  <v>12/2/2021</v>
                </pt>
                <pt idx="71">
                  <v>17/2/2021</v>
                </pt>
                <pt idx="72">
                  <v>18/2/2021</v>
                </pt>
                <pt idx="73">
                  <v>19/2/2021</v>
                </pt>
                <pt idx="74">
                  <v>22/2/2021</v>
                </pt>
                <pt idx="75">
                  <v>23/2/2021</v>
                </pt>
                <pt idx="76">
                  <v>24/2/2021</v>
                </pt>
                <pt idx="77">
                  <v>25/2/2021</v>
                </pt>
                <pt idx="78">
                  <v>26/2/2021</v>
                </pt>
                <pt idx="79">
                  <v>1/3/2021</v>
                </pt>
                <pt idx="80">
                  <v>2/3/2021</v>
                </pt>
                <pt idx="81">
                  <v>3/3/2021</v>
                </pt>
                <pt idx="82">
                  <v>4/3/2021</v>
                </pt>
                <pt idx="83">
                  <v>5/3/2021</v>
                </pt>
                <pt idx="84">
                  <v>8/3/2021</v>
                </pt>
                <pt idx="85">
                  <v>9/3/2021</v>
                </pt>
                <pt idx="86">
                  <v>10/3/2021</v>
                </pt>
                <pt idx="87">
                  <v>11/3/2021</v>
                </pt>
                <pt idx="88">
                  <v>12/3/2021</v>
                </pt>
                <pt idx="89">
                  <v>15/3/2021</v>
                </pt>
                <pt idx="90">
                  <v>16/3/2021</v>
                </pt>
                <pt idx="91">
                  <v>17/3/2021</v>
                </pt>
                <pt idx="92">
                  <v>18/3/2021</v>
                </pt>
                <pt idx="93">
                  <v>19/3/2021</v>
                </pt>
                <pt idx="94">
                  <v>22/3/2021</v>
                </pt>
                <pt idx="95">
                  <v>23/3/2021</v>
                </pt>
                <pt idx="96">
                  <v>25/3/2021</v>
                </pt>
                <pt idx="97">
                  <v>26/3/2021</v>
                </pt>
                <pt idx="98">
                  <v>29/3/2021</v>
                </pt>
                <pt idx="99">
                  <v>30/3/2021</v>
                </pt>
                <pt idx="100">
                  <v>31/3/2021</v>
                </pt>
                <pt idx="101">
                  <v>5/4/2021</v>
                </pt>
                <pt idx="102">
                  <v>6/4/2021</v>
                </pt>
                <pt idx="103">
                  <v>7/4/2021</v>
                </pt>
                <pt idx="104">
                  <v>8/4/2021</v>
                </pt>
                <pt idx="105">
                  <v>9/4/2021</v>
                </pt>
                <pt idx="106">
                  <v>12/4/2021</v>
                </pt>
                <pt idx="107">
                  <v>13/4/2021</v>
                </pt>
                <pt idx="108">
                  <v>14/4/2021</v>
                </pt>
                <pt idx="109">
                  <v>15/4/2021</v>
                </pt>
                <pt idx="110">
                  <v>16/4/2021</v>
                </pt>
                <pt idx="111">
                  <v>19/4/2021</v>
                </pt>
                <pt idx="112">
                  <v>20/4/2021</v>
                </pt>
                <pt idx="113">
                  <v>21/4/2021</v>
                </pt>
                <pt idx="114">
                  <v>22/4/2021</v>
                </pt>
                <pt idx="115">
                  <v>23/4/2021</v>
                </pt>
                <pt idx="116">
                  <v>26/4/2021</v>
                </pt>
                <pt idx="117">
                  <v>27/4/2021</v>
                </pt>
                <pt idx="118">
                  <v>28/4/2021</v>
                </pt>
                <pt idx="119">
                  <v>29/4/2021</v>
                </pt>
                <pt idx="120">
                  <v>30/4/2021</v>
                </pt>
                <pt idx="121">
                  <v>3/5/2021</v>
                </pt>
                <pt idx="122">
                  <v>4/5/2021</v>
                </pt>
                <pt idx="123">
                  <v>5/5/2021</v>
                </pt>
                <pt idx="124">
                  <v>6/5/2021</v>
                </pt>
                <pt idx="125">
                  <v>7/5/2021</v>
                </pt>
                <pt idx="126">
                  <v>10/5/2021</v>
                </pt>
                <pt idx="127">
                  <v>11/5/2021</v>
                </pt>
                <pt idx="128">
                  <v>12/5/2021</v>
                </pt>
                <pt idx="129">
                  <v>13/5/2021</v>
                </pt>
                <pt idx="130">
                  <v>14/5/2021</v>
                </pt>
                <pt idx="131">
                  <v>17/5/2021</v>
                </pt>
                <pt idx="132">
                  <v>18/5/2021</v>
                </pt>
                <pt idx="133">
                  <v>19/5/2021</v>
                </pt>
                <pt idx="134">
                  <v>20/5/2021</v>
                </pt>
                <pt idx="135">
                  <v>21/5/2021</v>
                </pt>
                <pt idx="136">
                  <v>26/5/2021</v>
                </pt>
                <pt idx="137">
                  <v>27/5/2021</v>
                </pt>
                <pt idx="138">
                  <v>28/5/2021</v>
                </pt>
                <pt idx="139">
                  <v>31/5/2021</v>
                </pt>
                <pt idx="140">
                  <v>1/6/2021</v>
                </pt>
                <pt idx="141">
                  <v>2/6/2021</v>
                </pt>
                <pt idx="142">
                  <v>3/6/2021</v>
                </pt>
                <pt idx="143">
                  <v>4/6/2021</v>
                </pt>
                <pt idx="144">
                  <v>7/6/2021</v>
                </pt>
                <pt idx="145">
                  <v>8/6/2021</v>
                </pt>
                <pt idx="146">
                  <v>9/6/2021</v>
                </pt>
                <pt idx="147">
                  <v>10/6/2021</v>
                </pt>
                <pt idx="148">
                  <v>11/6/2021</v>
                </pt>
                <pt idx="149">
                  <v>14/6/2021</v>
                </pt>
                <pt idx="150">
                  <v>15/6/2021</v>
                </pt>
                <pt idx="151">
                  <v>16/6/2021</v>
                </pt>
                <pt idx="152">
                  <v>17/6/2021</v>
                </pt>
                <pt idx="153">
                  <v>18/6/2021</v>
                </pt>
                <pt idx="154">
                  <v>22/6/2021</v>
                </pt>
                <pt idx="155">
                  <v>23/6/2021</v>
                </pt>
                <pt idx="156">
                  <v>24/6/2021</v>
                </pt>
                <pt idx="157">
                  <v>25/6/2021</v>
                </pt>
                <pt idx="158">
                  <v>28/6/2021</v>
                </pt>
                <pt idx="159">
                  <v>29/6/2021</v>
                </pt>
                <pt idx="160">
                  <v>30/6/2021</v>
                </pt>
                <pt idx="161">
                  <v>1/7/2021</v>
                </pt>
                <pt idx="162">
                  <v>2/7/2021</v>
                </pt>
                <pt idx="163">
                  <v>5/7/2021</v>
                </pt>
                <pt idx="164">
                  <v>6/7/2021</v>
                </pt>
                <pt idx="165">
                  <v>7/7/2021</v>
                </pt>
                <pt idx="166">
                  <v>8/7/2021</v>
                </pt>
                <pt idx="167">
                  <v>12/7/2021</v>
                </pt>
                <pt idx="168">
                  <v>13/7/2021</v>
                </pt>
                <pt idx="169">
                  <v>14/7/2021</v>
                </pt>
                <pt idx="170">
                  <v>15/7/2021</v>
                </pt>
                <pt idx="171">
                  <v>16/7/2021</v>
                </pt>
                <pt idx="172">
                  <v>19/7/2021</v>
                </pt>
                <pt idx="173">
                  <v>20/7/2021</v>
                </pt>
                <pt idx="174">
                  <v>21/7/2021</v>
                </pt>
                <pt idx="175">
                  <v>22/7/2021</v>
                </pt>
                <pt idx="176">
                  <v>23/7/2021</v>
                </pt>
                <pt idx="177">
                  <v>26/7/2021</v>
                </pt>
                <pt idx="178">
                  <v>27/7/2021</v>
                </pt>
                <pt idx="179">
                  <v>28/7/2021</v>
                </pt>
                <pt idx="180">
                  <v>29/7/2021</v>
                </pt>
                <pt idx="181">
                  <v>30/7/2021</v>
                </pt>
                <pt idx="182">
                  <v>1/8/2021</v>
                </pt>
                <pt idx="183">
                  <v>2/8/2021</v>
                </pt>
                <pt idx="184">
                  <v>3/8/2021</v>
                </pt>
                <pt idx="185">
                  <v>4/8/2021</v>
                </pt>
                <pt idx="186">
                  <v>5/8/2021</v>
                </pt>
                <pt idx="187">
                  <v>9/8/2021</v>
                </pt>
                <pt idx="188">
                  <v>10/8/2021</v>
                </pt>
                <pt idx="189">
                  <v>11/8/2021</v>
                </pt>
                <pt idx="190">
                  <v>12/8/2021</v>
                </pt>
                <pt idx="191">
                  <v>13/8/2021</v>
                </pt>
                <pt idx="192">
                  <v>17/8/2021</v>
                </pt>
                <pt idx="193">
                  <v>18/8/2021</v>
                </pt>
                <pt idx="194">
                  <v>19/8/2021</v>
                </pt>
                <pt idx="195">
                  <v>20/8/2021</v>
                </pt>
                <pt idx="196">
                  <v>23/8/2021</v>
                </pt>
                <pt idx="197">
                  <v>24/8/2021</v>
                </pt>
                <pt idx="198">
                  <v>25/8/2021</v>
                </pt>
                <pt idx="199">
                  <v>26/8/2021</v>
                </pt>
                <pt idx="200">
                  <v>27/8/2021</v>
                </pt>
                <pt idx="201">
                  <v>30/8/2021</v>
                </pt>
                <pt idx="202">
                  <v>31/8/2021</v>
                </pt>
                <pt idx="203">
                  <v>1/9/2021</v>
                </pt>
                <pt idx="204">
                  <v>2/9/2021</v>
                </pt>
                <pt idx="205">
                  <v>3/9/2021</v>
                </pt>
                <pt idx="206">
                  <v>6/9/2021</v>
                </pt>
                <pt idx="207">
                  <v>7/9/2021</v>
                </pt>
                <pt idx="208">
                  <v>8/9/2021</v>
                </pt>
                <pt idx="209">
                  <v>9/9/2021</v>
                </pt>
                <pt idx="210">
                  <v>10/9/2021</v>
                </pt>
                <pt idx="211">
                  <v>13/9/2021</v>
                </pt>
                <pt idx="212">
                  <v>14/9/2021</v>
                </pt>
                <pt idx="213">
                  <v>15/9/2021</v>
                </pt>
                <pt idx="214">
                  <v>16/9/2021</v>
                </pt>
                <pt idx="215">
                  <v>17/9/2021</v>
                </pt>
                <pt idx="216">
                  <v>20/9/2021</v>
                </pt>
                <pt idx="217">
                  <v>21/9/2021</v>
                </pt>
                <pt idx="218">
                  <v>22/9/2021</v>
                </pt>
                <pt idx="219">
                  <v>23/9/2021</v>
                </pt>
                <pt idx="220">
                  <v>24/9/2021</v>
                </pt>
                <pt idx="221">
                  <v>27/9/2021</v>
                </pt>
                <pt idx="222">
                  <v>28/9/2021</v>
                </pt>
                <pt idx="223">
                  <v>29/9/2021</v>
                </pt>
                <pt idx="224">
                  <v>30/9/2021</v>
                </pt>
                <pt idx="225">
                  <v>1/10/2021</v>
                </pt>
                <pt idx="226">
                  <v>4/10/2021</v>
                </pt>
                <pt idx="227">
                  <v>5/10/2021</v>
                </pt>
                <pt idx="228">
                  <v>6/10/2021</v>
                </pt>
                <pt idx="229">
                  <v>7/10/2021</v>
                </pt>
                <pt idx="230">
                  <v>12/10/2021</v>
                </pt>
                <pt idx="231">
                  <v>13/10/2021</v>
                </pt>
                <pt idx="232">
                  <v>14/10/2021</v>
                </pt>
                <pt idx="233">
                  <v>15/10/2021</v>
                </pt>
                <pt idx="234">
                  <v>18/10/2021</v>
                </pt>
              </strCache>
            </strRef>
          </cat>
          <val>
            <numRef>
              <f>'Grafico Paridades'!$D$3:$D$238</f>
              <numCache>
                <formatCode>0.00%</formatCode>
                <ptCount val="235"/>
                <pt idx="0">
                  <v>0.4833636815096838</v>
                </pt>
                <pt idx="1">
                  <v>0.4702596076916711</v>
                </pt>
                <pt idx="2">
                  <v>0.4682327300816597</v>
                </pt>
                <pt idx="3">
                  <v>0.4513792722959367</v>
                </pt>
                <pt idx="4">
                  <v>0.4506620324395895</v>
                </pt>
                <pt idx="5">
                  <v>0.4575966126941219</v>
                </pt>
                <pt idx="6">
                  <v>0.4681552380426988</v>
                </pt>
                <pt idx="7">
                  <v>0.4590815059991725</v>
                </pt>
                <pt idx="8">
                  <v>0.4630702189861548</v>
                </pt>
                <pt idx="9">
                  <v>0.4679900162718222</v>
                </pt>
                <pt idx="10">
                  <v>0.4650579150579151</v>
                </pt>
                <pt idx="11">
                  <v>0.4655483853175588</v>
                </pt>
                <pt idx="12">
                  <v>0.4655355468534554</v>
                </pt>
                <pt idx="13">
                  <v>0.463081483524059</v>
                </pt>
                <pt idx="14">
                  <v>0.4599487122925054</v>
                </pt>
                <pt idx="15">
                  <v>0.4478589351200816</v>
                </pt>
                <pt idx="16">
                  <v>0.4478465865225543</v>
                </pt>
                <pt idx="17">
                  <v>0.4429030301359287</v>
                </pt>
                <pt idx="18">
                  <v>0.4458729633611778</v>
                </pt>
                <pt idx="19">
                  <v>0.4528036610244252</v>
                </pt>
                <pt idx="20">
                  <v>0.4537973811164714</v>
                </pt>
                <pt idx="21">
                  <v>0.4537848715404124</v>
                </pt>
                <pt idx="22">
                  <v>0.4442900851732407</v>
                </pt>
                <pt idx="23">
                  <v>0.4448814773980154</v>
                </pt>
                <pt idx="24">
                  <v>0.4426559356136821</v>
                </pt>
                <pt idx="25">
                  <v>0.4426437351854914</v>
                </pt>
                <pt idx="26">
                  <v>0.4396135931427942</v>
                </pt>
                <pt idx="27">
                  <v>0.437541335978836</v>
                </pt>
                <pt idx="28">
                  <v>0.437529278844829</v>
                </pt>
                <pt idx="29">
                  <v>0.4394282171397079</v>
                </pt>
                <pt idx="30">
                  <v>0.4455266855867522</v>
                </pt>
                <pt idx="31">
                  <v>0.4414917066181738</v>
                </pt>
                <pt idx="32">
                  <v>0.4372558203609312</v>
                </pt>
                <pt idx="33">
                  <v>0.437143211373154</v>
                </pt>
                <pt idx="34">
                  <v>0.4374328456897264</v>
                </pt>
                <pt idx="35">
                  <v>0.4462451790633609</v>
                </pt>
                <pt idx="36">
                  <v>0.4374851932453651</v>
                </pt>
                <pt idx="37">
                  <v>0.4423998677758801</v>
                </pt>
                <pt idx="38">
                  <v>0.4423389429035723</v>
                </pt>
                <pt idx="39">
                  <v>0.4501680070507877</v>
                </pt>
                <pt idx="40">
                  <v>0.4513619212867333</v>
                </pt>
                <pt idx="41">
                  <v>0.433308090543592</v>
                </pt>
                <pt idx="42">
                  <v>0.4301803662398458</v>
                </pt>
                <pt idx="43">
                  <v>0.4407217204537945</v>
                </pt>
                <pt idx="44">
                  <v>0.4321667538618278</v>
                </pt>
                <pt idx="45">
                  <v>0.4321548543421995</v>
                </pt>
                <pt idx="46">
                  <v>0.433124087993172</v>
                </pt>
                <pt idx="47">
                  <v>0.4322077528770442</v>
                </pt>
                <pt idx="48">
                  <v>0.4240563830080115</v>
                </pt>
                <pt idx="49">
                  <v>0.4186185442131923</v>
                </pt>
                <pt idx="50">
                  <v>0.4220233998623538</v>
                </pt>
                <pt idx="51">
                  <v>0.4219885487778022</v>
                </pt>
                <pt idx="52">
                  <v>0.4330287098461285</v>
                </pt>
                <pt idx="53">
                  <v>0.4307060280759702</v>
                </pt>
                <pt idx="54">
                  <v>0.4325025460350664</v>
                </pt>
                <pt idx="55">
                  <v>0.4370114499614665</v>
                </pt>
                <pt idx="56">
                  <v>0.435669464703454</v>
                </pt>
                <pt idx="57">
                  <v>0.4334475451343021</v>
                </pt>
                <pt idx="58">
                  <v>0.4319288879103944</v>
                </pt>
                <pt idx="59">
                  <v>0.4319170014860477</v>
                </pt>
                <pt idx="60">
                  <v>0.4319051157158975</v>
                </pt>
                <pt idx="61">
                  <v>0.4318694623300864</v>
                </pt>
                <pt idx="62">
                  <v>0.4293467792972512</v>
                </pt>
                <pt idx="63">
                  <v>0.4243135042923178</v>
                </pt>
                <pt idx="64">
                  <v>0.4293231531159719</v>
                </pt>
                <pt idx="65">
                  <v>0.437043966323667</v>
                </pt>
                <pt idx="66">
                  <v>0.4329912789897934</v>
                </pt>
                <pt idx="67">
                  <v>0.4297661623108666</v>
                </pt>
                <pt idx="68">
                  <v>0.4297543396330225</v>
                </pt>
                <pt idx="69">
                  <v>0.4272323393485915</v>
                </pt>
                <pt idx="70">
                  <v>0.4337468709597558</v>
                </pt>
                <pt idx="71">
                  <v>0.4256559766763848</v>
                </pt>
                <pt idx="72">
                  <v>0.4236365136554911</v>
                </pt>
                <pt idx="73">
                  <v>0.4237252475247525</v>
                </pt>
                <pt idx="74">
                  <v>0.4255974479553392</v>
                </pt>
                <pt idx="75">
                  <v>0.4195633043669563</v>
                </pt>
                <pt idx="76">
                  <v>0.4165406297263853</v>
                </pt>
                <pt idx="77">
                  <v>0.4215475994060386</v>
                </pt>
                <pt idx="78">
                  <v>0.4165177221107048</v>
                </pt>
                <pt idx="79">
                  <v>0.4164833654110531</v>
                </pt>
                <pt idx="80">
                  <v>0.411454180528443</v>
                </pt>
                <pt idx="81">
                  <v>0.4089340701638623</v>
                </pt>
                <pt idx="82">
                  <v>0.405410606768757</v>
                </pt>
                <pt idx="83">
                  <v>0.3863336449112003</v>
                </pt>
                <pt idx="84">
                  <v>0.3993457404403881</v>
                </pt>
                <pt idx="85">
                  <v>0.3842844576392325</v>
                </pt>
                <pt idx="86">
                  <v>0.3712306550482421</v>
                </pt>
                <pt idx="87">
                  <v>0.3732270478284772</v>
                </pt>
                <pt idx="88">
                  <v>0.3792364146120227</v>
                </pt>
                <pt idx="89">
                  <v>0.388233839050132</v>
                </pt>
                <pt idx="90">
                  <v>0.4011639411845541</v>
                </pt>
                <pt idx="91">
                  <v>0.3997485296542627</v>
                </pt>
                <pt idx="92">
                  <v>0.3991356803253909</v>
                </pt>
                <pt idx="93">
                  <v>0.3972188633615478</v>
                </pt>
                <pt idx="94">
                  <v>0.4011980984309307</v>
                </pt>
                <pt idx="95">
                  <v>0.4011870740822159</v>
                </pt>
                <pt idx="96">
                  <v>0.3892303676430181</v>
                </pt>
                <pt idx="97">
                  <v>0.3921280395658744</v>
                </pt>
                <pt idx="98">
                  <v>0.382167976262432</v>
                </pt>
                <pt idx="99">
                  <v>0.3820571993736092</v>
                </pt>
                <pt idx="100">
                  <v>0.3895673076923077</v>
                </pt>
                <pt idx="101">
                  <v>0.389413542095866</v>
                </pt>
                <pt idx="102">
                  <v>0.3879992308960062</v>
                </pt>
                <pt idx="103">
                  <v>0.3799681379954404</v>
                </pt>
                <pt idx="104">
                  <v>0.3760478466271149</v>
                </pt>
                <pt idx="105">
                  <v>0.3786440165893049</v>
                </pt>
                <pt idx="106">
                  <v>0.3869328792705701</v>
                </pt>
                <pt idx="107">
                  <v>0.3999533133770906</v>
                </pt>
                <pt idx="108">
                  <v>0.3929257977700885</v>
                </pt>
                <pt idx="109">
                  <v>0.3909103391459564</v>
                </pt>
                <pt idx="110">
                  <v>0.3899975285588752</v>
                </pt>
                <pt idx="111">
                  <v>0.3939742991295753</v>
                </pt>
                <pt idx="112">
                  <v>0.3943643602416255</v>
                </pt>
                <pt idx="113">
                  <v>0.3908459405288158</v>
                </pt>
                <pt idx="114">
                  <v>0.3988523419911043</v>
                </pt>
                <pt idx="115">
                  <v>0.3983403344040853</v>
                </pt>
                <pt idx="116">
                  <v>0.3958024488003075</v>
                </pt>
                <pt idx="117">
                  <v>0.3947895791583166</v>
                </pt>
                <pt idx="118">
                  <v>0.3932757768749314</v>
                </pt>
                <pt idx="119">
                  <v>0.3977737516813528</v>
                </pt>
                <pt idx="120">
                  <v>0.3907493823771617</v>
                </pt>
                <pt idx="121">
                  <v>0.3963275052836714</v>
                </pt>
                <pt idx="122">
                  <v>0.3667631882307735</v>
                </pt>
                <pt idx="123">
                  <v>0.3881912995745849</v>
                </pt>
                <pt idx="124">
                  <v>0.392688549785926</v>
                </pt>
                <pt idx="125">
                  <v>0.3886708565469166</v>
                </pt>
                <pt idx="126">
                  <v>0.3956503841931943</v>
                </pt>
                <pt idx="127">
                  <v>0.3888285173293817</v>
                </pt>
                <pt idx="128">
                  <v>0.3925237363481697</v>
                </pt>
                <pt idx="129">
                  <v>0.387705457838268</v>
                </pt>
                <pt idx="130">
                  <v>0.3956069586214466</v>
                </pt>
                <pt idx="131">
                  <v>0.4075918456937471</v>
                </pt>
                <pt idx="132">
                  <v>0.4030742427568042</v>
                </pt>
                <pt idx="133">
                  <v>0.4015610853521359</v>
                </pt>
                <pt idx="134">
                  <v>0.4035528120713305</v>
                </pt>
                <pt idx="135">
                  <v>0.403541740967326</v>
                </pt>
                <pt idx="136">
                  <v>0.4064900153609831</v>
                </pt>
                <pt idx="137">
                  <v>0.4104835833996215</v>
                </pt>
                <pt idx="138">
                  <v>0.4005609194141204</v>
                </pt>
                <pt idx="139">
                  <v>0.4054332026000384</v>
                </pt>
                <pt idx="140">
                  <v>0.4084252098074708</v>
                </pt>
                <pt idx="141">
                  <v>0.4194251707210048</v>
                </pt>
                <pt idx="142">
                  <v>0.4184126810004388</v>
                </pt>
                <pt idx="143">
                  <v>0.4177005347593583</v>
                </pt>
                <pt idx="144">
                  <v>0.423871613469343</v>
                </pt>
                <pt idx="145">
                  <v>0.42536126573254</v>
                </pt>
                <pt idx="146">
                  <v>0.4403619413216342</v>
                </pt>
                <pt idx="147">
                  <v>0.4403498670176305</v>
                </pt>
                <pt idx="148">
                  <v>0.4493447027856986</v>
                </pt>
                <pt idx="149">
                  <v>0.4528101439342015</v>
                </pt>
                <pt idx="150">
                  <v>0.4402895054282268</v>
                </pt>
                <pt idx="151">
                  <v>0.4352742824245415</v>
                </pt>
                <pt idx="152">
                  <v>0.4312599374965733</v>
                </pt>
                <pt idx="153">
                  <v>0.4322486910277146</v>
                </pt>
                <pt idx="154">
                  <v>0.4216964065455143</v>
                </pt>
                <pt idx="155">
                  <v>0.4161824361363886</v>
                </pt>
                <pt idx="156">
                  <v>0.4071673290393313</v>
                </pt>
                <pt idx="157">
                  <v>0.4001534835279285</v>
                </pt>
                <pt idx="158">
                  <v>0.4051220915892461</v>
                </pt>
                <pt idx="159">
                  <v>0.3951082488352973</v>
                </pt>
                <pt idx="160">
                  <v>0.3955975446000383</v>
                </pt>
                <pt idx="161">
                  <v>0.400087690452702</v>
                </pt>
                <pt idx="162">
                  <v>0.3970761515907161</v>
                </pt>
                <pt idx="163">
                  <v>0.3955433472161333</v>
                </pt>
                <pt idx="164">
                  <v>0.3980327150176727</v>
                </pt>
                <pt idx="165">
                  <v>0.3890213162365061</v>
                </pt>
                <pt idx="166">
                  <v>0.3904106961834571</v>
                </pt>
                <pt idx="167">
                  <v>0.3914678245623647</v>
                </pt>
                <pt idx="168">
                  <v>0.3930569252684638</v>
                </pt>
                <pt idx="169">
                  <v>0.3949458978222161</v>
                </pt>
                <pt idx="170">
                  <v>0.3949350791650688</v>
                </pt>
                <pt idx="171">
                  <v>0.3970238584381078</v>
                </pt>
                <pt idx="172">
                  <v>0.3988907148726376</v>
                </pt>
                <pt idx="173">
                  <v>0.4088767768617677</v>
                </pt>
                <pt idx="174">
                  <v>0.4003683720420683</v>
                </pt>
                <pt idx="175">
                  <v>0.4058554487442829</v>
                </pt>
                <pt idx="176">
                  <v>0.4053445253875226</v>
                </pt>
                <pt idx="177">
                  <v>0.4053112249089465</v>
                </pt>
                <pt idx="178">
                  <v>0.4028013582342954</v>
                </pt>
                <pt idx="179">
                  <v>0.4027903283222432</v>
                </pt>
                <pt idx="180">
                  <v>0.4097754654983571</v>
                </pt>
                <pt idx="181">
                  <v>0.4087648202404096</v>
                </pt>
                <pt idx="182">
                  <v>0.4047449552336884</v>
                </pt>
                <pt idx="183">
                  <v>0.3998370934180265</v>
                </pt>
                <pt idx="184">
                  <v>0.4047227926078029</v>
                </pt>
                <pt idx="185">
                  <v>0.4097081530964244</v>
                </pt>
                <pt idx="186">
                  <v>0.4037013715881403</v>
                </pt>
                <pt idx="187">
                  <v>0.400160137965016</v>
                </pt>
                <pt idx="188">
                  <v>0.4046452425270995</v>
                </pt>
                <pt idx="189">
                  <v>0.4046341663701311</v>
                </pt>
                <pt idx="190">
                  <v>0.4066212295396069</v>
                </pt>
                <pt idx="191">
                  <v>0.4056110578896948</v>
                </pt>
                <pt idx="192">
                  <v>0.3976750868934563</v>
                </pt>
                <pt idx="193">
                  <v>0.3995621237000547</v>
                </pt>
                <pt idx="194">
                  <v>0.3995511890752853</v>
                </pt>
                <pt idx="195">
                  <v>0.3895517486727601</v>
                </pt>
                <pt idx="196">
                  <v>0.399507456560405</v>
                </pt>
                <pt idx="197">
                  <v>0.4094839380506758</v>
                </pt>
                <pt idx="198">
                  <v>0.4134675896790434</v>
                </pt>
                <pt idx="199">
                  <v>0.4164523366531684</v>
                </pt>
                <pt idx="200">
                  <v>0.4204355796328217</v>
                </pt>
                <pt idx="201">
                  <v>0.4243953819216459</v>
                </pt>
                <pt idx="202">
                  <v>0.4203895713074167</v>
                </pt>
                <pt idx="203">
                  <v>0.424372161733326</v>
                </pt>
                <pt idx="204">
                  <v>0.4333470113527561</v>
                </pt>
                <pt idx="205">
                  <v>0.421852773826458</v>
                </pt>
                <pt idx="206">
                  <v>0.4268100878032769</v>
                </pt>
                <pt idx="207">
                  <v>0.4292943107221007</v>
                </pt>
                <pt idx="208">
                  <v>0.4242909110801127</v>
                </pt>
                <pt idx="209">
                  <v>0.416792024506318</v>
                </pt>
                <pt idx="210">
                  <v>0.4167806252222192</v>
                </pt>
                <pt idx="211">
                  <v>0.4332166493463873</v>
                </pt>
                <pt idx="212">
                  <v>0.4292121311565072</v>
                </pt>
                <pt idx="213">
                  <v>0.4341910960402538</v>
                </pt>
                <pt idx="214">
                  <v>0.4291886570592578</v>
                </pt>
                <pt idx="215">
                  <v>0.4341673502871206</v>
                </pt>
                <pt idx="216">
                  <v>0.4341317365269461</v>
                </pt>
                <pt idx="217">
                  <v>0.4111664023623339</v>
                </pt>
                <pt idx="218">
                  <v>0.414149008885851</v>
                </pt>
                <pt idx="219">
                  <v>0.4132395559930008</v>
                </pt>
                <pt idx="220">
                  <v>0.4081389944500642</v>
                </pt>
                <pt idx="221">
                  <v>0.4061098961180973</v>
                </pt>
                <pt idx="222">
                  <v>0.4110877231349608</v>
                </pt>
                <pt idx="223">
                  <v>0.416564157235799</v>
                </pt>
                <pt idx="224">
                  <v>0.4130607112593281</v>
                </pt>
                <pt idx="225">
                  <v>0.4198338071287995</v>
                </pt>
                <pt idx="226">
                  <v>0.4140131740782245</v>
                </pt>
                <pt idx="227">
                  <v>0.4159970482125288</v>
                </pt>
                <pt idx="228">
                  <v>0.4159856787559102</v>
                </pt>
                <pt idx="229">
                  <v>0.4089915277398196</v>
                </pt>
                <pt idx="230">
                  <v>0.4039486268615931</v>
                </pt>
                <pt idx="231">
                  <v>0.4045360148650126</v>
                </pt>
                <pt idx="232">
                  <v>0.4039265513566686</v>
                </pt>
                <pt idx="233">
                  <v>0.4050125689928412</v>
                </pt>
                <pt idx="234">
                  <v>0.3939100024589492</v>
                </pt>
              </numCache>
            </numRef>
          </val>
          <smooth val="0"/>
        </ser>
        <ser>
          <idx val="3"/>
          <order val="3"/>
          <tx>
            <strRef>
              <f>'Grafico Paridades'!$E$1:$E$2</f>
              <strCache>
                <ptCount val="1"/>
                <pt idx="0">
                  <v>Suma de P38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Paridades'!$A$3:$A$238</f>
              <strCache>
                <ptCount val="235"/>
                <pt idx="0">
                  <v>28/10/2020</v>
                </pt>
                <pt idx="1">
                  <v>29/10/2020</v>
                </pt>
                <pt idx="2">
                  <v>30/10/2020</v>
                </pt>
                <pt idx="3">
                  <v>2/11/2020</v>
                </pt>
                <pt idx="4">
                  <v>3/11/2020</v>
                </pt>
                <pt idx="5">
                  <v>4/11/2020</v>
                </pt>
                <pt idx="6">
                  <v>5/11/2020</v>
                </pt>
                <pt idx="7">
                  <v>6/11/2020</v>
                </pt>
                <pt idx="8">
                  <v>9/11/2020</v>
                </pt>
                <pt idx="9">
                  <v>10/11/2020</v>
                </pt>
                <pt idx="10">
                  <v>11/11/2020</v>
                </pt>
                <pt idx="11">
                  <v>12/11/2020</v>
                </pt>
                <pt idx="12">
                  <v>13/11/2020</v>
                </pt>
                <pt idx="13">
                  <v>16/11/2020</v>
                </pt>
                <pt idx="14">
                  <v>17/11/2020</v>
                </pt>
                <pt idx="15">
                  <v>18/11/2020</v>
                </pt>
                <pt idx="16">
                  <v>19/11/2020</v>
                </pt>
                <pt idx="17">
                  <v>20/11/2020</v>
                </pt>
                <pt idx="18">
                  <v>24/11/2020</v>
                </pt>
                <pt idx="19">
                  <v>25/11/2020</v>
                </pt>
                <pt idx="20">
                  <v>26/11/2020</v>
                </pt>
                <pt idx="21">
                  <v>27/11/2020</v>
                </pt>
                <pt idx="22">
                  <v>30/11/2020</v>
                </pt>
                <pt idx="23">
                  <v>1/12/2020</v>
                </pt>
                <pt idx="24">
                  <v>2/12/2020</v>
                </pt>
                <pt idx="25">
                  <v>3/12/2020</v>
                </pt>
                <pt idx="26">
                  <v>4/12/2020</v>
                </pt>
                <pt idx="27">
                  <v>9/12/2020</v>
                </pt>
                <pt idx="28">
                  <v>10/12/2020</v>
                </pt>
                <pt idx="29">
                  <v>11/12/2020</v>
                </pt>
                <pt idx="30">
                  <v>14/12/2020</v>
                </pt>
                <pt idx="31">
                  <v>15/12/2020</v>
                </pt>
                <pt idx="32">
                  <v>16/12/2020</v>
                </pt>
                <pt idx="33">
                  <v>17/12/2020</v>
                </pt>
                <pt idx="34">
                  <v>18/12/2020</v>
                </pt>
                <pt idx="35">
                  <v>21/12/2020</v>
                </pt>
                <pt idx="36">
                  <v>22/12/2020</v>
                </pt>
                <pt idx="37">
                  <v>23/12/2020</v>
                </pt>
                <pt idx="38">
                  <v>28/12/2020</v>
                </pt>
                <pt idx="39">
                  <v>29/12/2020</v>
                </pt>
                <pt idx="40">
                  <v>30/12/2020</v>
                </pt>
                <pt idx="41">
                  <v>4/1/2021</v>
                </pt>
                <pt idx="42">
                  <v>5/1/2021</v>
                </pt>
                <pt idx="43">
                  <v>6/1/2021</v>
                </pt>
                <pt idx="44">
                  <v>7/1/2021</v>
                </pt>
                <pt idx="45">
                  <v>8/1/2021</v>
                </pt>
                <pt idx="46">
                  <v>11/1/2021</v>
                </pt>
                <pt idx="47">
                  <v>12/1/2021</v>
                </pt>
                <pt idx="48">
                  <v>13/1/2021</v>
                </pt>
                <pt idx="49">
                  <v>14/1/2021</v>
                </pt>
                <pt idx="50">
                  <v>15/1/2021</v>
                </pt>
                <pt idx="51">
                  <v>18/1/2021</v>
                </pt>
                <pt idx="52">
                  <v>19/1/2021</v>
                </pt>
                <pt idx="53">
                  <v>20/1/2021</v>
                </pt>
                <pt idx="54">
                  <v>21/1/2021</v>
                </pt>
                <pt idx="55">
                  <v>22/1/2021</v>
                </pt>
                <pt idx="56">
                  <v>25/1/2021</v>
                </pt>
                <pt idx="57">
                  <v>26/1/2021</v>
                </pt>
                <pt idx="58">
                  <v>27/1/2021</v>
                </pt>
                <pt idx="59">
                  <v>28/1/2021</v>
                </pt>
                <pt idx="60">
                  <v>29/1/2021</v>
                </pt>
                <pt idx="61">
                  <v>1/2/2021</v>
                </pt>
                <pt idx="62">
                  <v>2/2/2021</v>
                </pt>
                <pt idx="63">
                  <v>3/2/2021</v>
                </pt>
                <pt idx="64">
                  <v>4/2/2021</v>
                </pt>
                <pt idx="65">
                  <v>5/2/2021</v>
                </pt>
                <pt idx="66">
                  <v>8/2/2021</v>
                </pt>
                <pt idx="67">
                  <v>9/2/2021</v>
                </pt>
                <pt idx="68">
                  <v>10/2/2021</v>
                </pt>
                <pt idx="69">
                  <v>11/2/2021</v>
                </pt>
                <pt idx="70">
                  <v>12/2/2021</v>
                </pt>
                <pt idx="71">
                  <v>17/2/2021</v>
                </pt>
                <pt idx="72">
                  <v>18/2/2021</v>
                </pt>
                <pt idx="73">
                  <v>19/2/2021</v>
                </pt>
                <pt idx="74">
                  <v>22/2/2021</v>
                </pt>
                <pt idx="75">
                  <v>23/2/2021</v>
                </pt>
                <pt idx="76">
                  <v>24/2/2021</v>
                </pt>
                <pt idx="77">
                  <v>25/2/2021</v>
                </pt>
                <pt idx="78">
                  <v>26/2/2021</v>
                </pt>
                <pt idx="79">
                  <v>1/3/2021</v>
                </pt>
                <pt idx="80">
                  <v>2/3/2021</v>
                </pt>
                <pt idx="81">
                  <v>3/3/2021</v>
                </pt>
                <pt idx="82">
                  <v>4/3/2021</v>
                </pt>
                <pt idx="83">
                  <v>5/3/2021</v>
                </pt>
                <pt idx="84">
                  <v>8/3/2021</v>
                </pt>
                <pt idx="85">
                  <v>9/3/2021</v>
                </pt>
                <pt idx="86">
                  <v>10/3/2021</v>
                </pt>
                <pt idx="87">
                  <v>11/3/2021</v>
                </pt>
                <pt idx="88">
                  <v>12/3/2021</v>
                </pt>
                <pt idx="89">
                  <v>15/3/2021</v>
                </pt>
                <pt idx="90">
                  <v>16/3/2021</v>
                </pt>
                <pt idx="91">
                  <v>17/3/2021</v>
                </pt>
                <pt idx="92">
                  <v>18/3/2021</v>
                </pt>
                <pt idx="93">
                  <v>19/3/2021</v>
                </pt>
                <pt idx="94">
                  <v>22/3/2021</v>
                </pt>
                <pt idx="95">
                  <v>23/3/2021</v>
                </pt>
                <pt idx="96">
                  <v>25/3/2021</v>
                </pt>
                <pt idx="97">
                  <v>26/3/2021</v>
                </pt>
                <pt idx="98">
                  <v>29/3/2021</v>
                </pt>
                <pt idx="99">
                  <v>30/3/2021</v>
                </pt>
                <pt idx="100">
                  <v>31/3/2021</v>
                </pt>
                <pt idx="101">
                  <v>5/4/2021</v>
                </pt>
                <pt idx="102">
                  <v>6/4/2021</v>
                </pt>
                <pt idx="103">
                  <v>7/4/2021</v>
                </pt>
                <pt idx="104">
                  <v>8/4/2021</v>
                </pt>
                <pt idx="105">
                  <v>9/4/2021</v>
                </pt>
                <pt idx="106">
                  <v>12/4/2021</v>
                </pt>
                <pt idx="107">
                  <v>13/4/2021</v>
                </pt>
                <pt idx="108">
                  <v>14/4/2021</v>
                </pt>
                <pt idx="109">
                  <v>15/4/2021</v>
                </pt>
                <pt idx="110">
                  <v>16/4/2021</v>
                </pt>
                <pt idx="111">
                  <v>19/4/2021</v>
                </pt>
                <pt idx="112">
                  <v>20/4/2021</v>
                </pt>
                <pt idx="113">
                  <v>21/4/2021</v>
                </pt>
                <pt idx="114">
                  <v>22/4/2021</v>
                </pt>
                <pt idx="115">
                  <v>23/4/2021</v>
                </pt>
                <pt idx="116">
                  <v>26/4/2021</v>
                </pt>
                <pt idx="117">
                  <v>27/4/2021</v>
                </pt>
                <pt idx="118">
                  <v>28/4/2021</v>
                </pt>
                <pt idx="119">
                  <v>29/4/2021</v>
                </pt>
                <pt idx="120">
                  <v>30/4/2021</v>
                </pt>
                <pt idx="121">
                  <v>3/5/2021</v>
                </pt>
                <pt idx="122">
                  <v>4/5/2021</v>
                </pt>
                <pt idx="123">
                  <v>5/5/2021</v>
                </pt>
                <pt idx="124">
                  <v>6/5/2021</v>
                </pt>
                <pt idx="125">
                  <v>7/5/2021</v>
                </pt>
                <pt idx="126">
                  <v>10/5/2021</v>
                </pt>
                <pt idx="127">
                  <v>11/5/2021</v>
                </pt>
                <pt idx="128">
                  <v>12/5/2021</v>
                </pt>
                <pt idx="129">
                  <v>13/5/2021</v>
                </pt>
                <pt idx="130">
                  <v>14/5/2021</v>
                </pt>
                <pt idx="131">
                  <v>17/5/2021</v>
                </pt>
                <pt idx="132">
                  <v>18/5/2021</v>
                </pt>
                <pt idx="133">
                  <v>19/5/2021</v>
                </pt>
                <pt idx="134">
                  <v>20/5/2021</v>
                </pt>
                <pt idx="135">
                  <v>21/5/2021</v>
                </pt>
                <pt idx="136">
                  <v>26/5/2021</v>
                </pt>
                <pt idx="137">
                  <v>27/5/2021</v>
                </pt>
                <pt idx="138">
                  <v>28/5/2021</v>
                </pt>
                <pt idx="139">
                  <v>31/5/2021</v>
                </pt>
                <pt idx="140">
                  <v>1/6/2021</v>
                </pt>
                <pt idx="141">
                  <v>2/6/2021</v>
                </pt>
                <pt idx="142">
                  <v>3/6/2021</v>
                </pt>
                <pt idx="143">
                  <v>4/6/2021</v>
                </pt>
                <pt idx="144">
                  <v>7/6/2021</v>
                </pt>
                <pt idx="145">
                  <v>8/6/2021</v>
                </pt>
                <pt idx="146">
                  <v>9/6/2021</v>
                </pt>
                <pt idx="147">
                  <v>10/6/2021</v>
                </pt>
                <pt idx="148">
                  <v>11/6/2021</v>
                </pt>
                <pt idx="149">
                  <v>14/6/2021</v>
                </pt>
                <pt idx="150">
                  <v>15/6/2021</v>
                </pt>
                <pt idx="151">
                  <v>16/6/2021</v>
                </pt>
                <pt idx="152">
                  <v>17/6/2021</v>
                </pt>
                <pt idx="153">
                  <v>18/6/2021</v>
                </pt>
                <pt idx="154">
                  <v>22/6/2021</v>
                </pt>
                <pt idx="155">
                  <v>23/6/2021</v>
                </pt>
                <pt idx="156">
                  <v>24/6/2021</v>
                </pt>
                <pt idx="157">
                  <v>25/6/2021</v>
                </pt>
                <pt idx="158">
                  <v>28/6/2021</v>
                </pt>
                <pt idx="159">
                  <v>29/6/2021</v>
                </pt>
                <pt idx="160">
                  <v>30/6/2021</v>
                </pt>
                <pt idx="161">
                  <v>1/7/2021</v>
                </pt>
                <pt idx="162">
                  <v>2/7/2021</v>
                </pt>
                <pt idx="163">
                  <v>5/7/2021</v>
                </pt>
                <pt idx="164">
                  <v>6/7/2021</v>
                </pt>
                <pt idx="165">
                  <v>7/7/2021</v>
                </pt>
                <pt idx="166">
                  <v>8/7/2021</v>
                </pt>
                <pt idx="167">
                  <v>12/7/2021</v>
                </pt>
                <pt idx="168">
                  <v>13/7/2021</v>
                </pt>
                <pt idx="169">
                  <v>14/7/2021</v>
                </pt>
                <pt idx="170">
                  <v>15/7/2021</v>
                </pt>
                <pt idx="171">
                  <v>16/7/2021</v>
                </pt>
                <pt idx="172">
                  <v>19/7/2021</v>
                </pt>
                <pt idx="173">
                  <v>20/7/2021</v>
                </pt>
                <pt idx="174">
                  <v>21/7/2021</v>
                </pt>
                <pt idx="175">
                  <v>22/7/2021</v>
                </pt>
                <pt idx="176">
                  <v>23/7/2021</v>
                </pt>
                <pt idx="177">
                  <v>26/7/2021</v>
                </pt>
                <pt idx="178">
                  <v>27/7/2021</v>
                </pt>
                <pt idx="179">
                  <v>28/7/2021</v>
                </pt>
                <pt idx="180">
                  <v>29/7/2021</v>
                </pt>
                <pt idx="181">
                  <v>30/7/2021</v>
                </pt>
                <pt idx="182">
                  <v>1/8/2021</v>
                </pt>
                <pt idx="183">
                  <v>2/8/2021</v>
                </pt>
                <pt idx="184">
                  <v>3/8/2021</v>
                </pt>
                <pt idx="185">
                  <v>4/8/2021</v>
                </pt>
                <pt idx="186">
                  <v>5/8/2021</v>
                </pt>
                <pt idx="187">
                  <v>9/8/2021</v>
                </pt>
                <pt idx="188">
                  <v>10/8/2021</v>
                </pt>
                <pt idx="189">
                  <v>11/8/2021</v>
                </pt>
                <pt idx="190">
                  <v>12/8/2021</v>
                </pt>
                <pt idx="191">
                  <v>13/8/2021</v>
                </pt>
                <pt idx="192">
                  <v>17/8/2021</v>
                </pt>
                <pt idx="193">
                  <v>18/8/2021</v>
                </pt>
                <pt idx="194">
                  <v>19/8/2021</v>
                </pt>
                <pt idx="195">
                  <v>20/8/2021</v>
                </pt>
                <pt idx="196">
                  <v>23/8/2021</v>
                </pt>
                <pt idx="197">
                  <v>24/8/2021</v>
                </pt>
                <pt idx="198">
                  <v>25/8/2021</v>
                </pt>
                <pt idx="199">
                  <v>26/8/2021</v>
                </pt>
                <pt idx="200">
                  <v>27/8/2021</v>
                </pt>
                <pt idx="201">
                  <v>30/8/2021</v>
                </pt>
                <pt idx="202">
                  <v>31/8/2021</v>
                </pt>
                <pt idx="203">
                  <v>1/9/2021</v>
                </pt>
                <pt idx="204">
                  <v>2/9/2021</v>
                </pt>
                <pt idx="205">
                  <v>3/9/2021</v>
                </pt>
                <pt idx="206">
                  <v>6/9/2021</v>
                </pt>
                <pt idx="207">
                  <v>7/9/2021</v>
                </pt>
                <pt idx="208">
                  <v>8/9/2021</v>
                </pt>
                <pt idx="209">
                  <v>9/9/2021</v>
                </pt>
                <pt idx="210">
                  <v>10/9/2021</v>
                </pt>
                <pt idx="211">
                  <v>13/9/2021</v>
                </pt>
                <pt idx="212">
                  <v>14/9/2021</v>
                </pt>
                <pt idx="213">
                  <v>15/9/2021</v>
                </pt>
                <pt idx="214">
                  <v>16/9/2021</v>
                </pt>
                <pt idx="215">
                  <v>17/9/2021</v>
                </pt>
                <pt idx="216">
                  <v>20/9/2021</v>
                </pt>
                <pt idx="217">
                  <v>21/9/2021</v>
                </pt>
                <pt idx="218">
                  <v>22/9/2021</v>
                </pt>
                <pt idx="219">
                  <v>23/9/2021</v>
                </pt>
                <pt idx="220">
                  <v>24/9/2021</v>
                </pt>
                <pt idx="221">
                  <v>27/9/2021</v>
                </pt>
                <pt idx="222">
                  <v>28/9/2021</v>
                </pt>
                <pt idx="223">
                  <v>29/9/2021</v>
                </pt>
                <pt idx="224">
                  <v>30/9/2021</v>
                </pt>
                <pt idx="225">
                  <v>1/10/2021</v>
                </pt>
                <pt idx="226">
                  <v>4/10/2021</v>
                </pt>
                <pt idx="227">
                  <v>5/10/2021</v>
                </pt>
                <pt idx="228">
                  <v>6/10/2021</v>
                </pt>
                <pt idx="229">
                  <v>7/10/2021</v>
                </pt>
                <pt idx="230">
                  <v>12/10/2021</v>
                </pt>
                <pt idx="231">
                  <v>13/10/2021</v>
                </pt>
                <pt idx="232">
                  <v>14/10/2021</v>
                </pt>
                <pt idx="233">
                  <v>15/10/2021</v>
                </pt>
                <pt idx="234">
                  <v>18/10/2021</v>
                </pt>
              </strCache>
            </strRef>
          </cat>
          <val>
            <numRef>
              <f>'Grafico Paridades'!$E$3:$E$238</f>
              <numCache>
                <formatCode>0.00%</formatCode>
                <ptCount val="235"/>
                <pt idx="0">
                  <v>0.3613142939406196</v>
                </pt>
                <pt idx="1">
                  <v>0.3612129687708872</v>
                </pt>
                <pt idx="2">
                  <v>0.3601107805366275</v>
                </pt>
                <pt idx="3">
                  <v>0.3628093819729838</v>
                </pt>
                <pt idx="4">
                  <v>0.3688132386410376</v>
                </pt>
                <pt idx="5">
                  <v>0.3728153609388764</v>
                </pt>
                <pt idx="6">
                  <v>0.3743153478615546</v>
                </pt>
                <pt idx="7">
                  <v>0.3741138969340714</v>
                </pt>
                <pt idx="8">
                  <v>0.379314363273672</v>
                </pt>
                <pt idx="9">
                  <v>0.3853180193241683</v>
                </pt>
                <pt idx="10">
                  <v>0.3848162873594735</v>
                </pt>
                <pt idx="11">
                  <v>0.3903194738158973</v>
                </pt>
                <pt idx="12">
                  <v>0.3970236014285616</v>
                </pt>
                <pt idx="13">
                  <v>0.3983205662091066</v>
                </pt>
                <pt idx="14">
                  <v>0.3968179979846864</v>
                </pt>
                <pt idx="15">
                  <v>0.3943146414776174</v>
                </pt>
                <pt idx="16">
                  <v>0.3903101094019906</v>
                </pt>
                <pt idx="17">
                  <v>0.3882071090485967</v>
                </pt>
                <pt idx="18">
                  <v>0.3807960297902822</v>
                </pt>
                <pt idx="19">
                  <v>0.3802943373981232</v>
                </pt>
                <pt idx="20">
                  <v>0.3753892554194156</v>
                </pt>
                <pt idx="21">
                  <v>0.3752878920815969</v>
                </pt>
                <pt idx="22">
                  <v>0.3717813824846887</v>
                </pt>
                <pt idx="23">
                  <v>0.3697786003153061</v>
                </pt>
                <pt idx="24">
                  <v>0.3800850637978483</v>
                </pt>
                <pt idx="25">
                  <v>0.3741793530786683</v>
                </pt>
                <pt idx="26">
                  <v>0.3715761370607609</v>
                </pt>
                <pt idx="27">
                  <v>0.3715697698328924</v>
                </pt>
                <pt idx="28">
                  <v>0.3737700872891028</v>
                </pt>
                <pt idx="29">
                  <v>0.3734685904246204</v>
                </pt>
                <pt idx="30">
                  <v>0.3744654601035666</v>
                </pt>
                <pt idx="31">
                  <v>0.3702612116767308</v>
                </pt>
                <pt idx="32">
                  <v>0.3730619099025</v>
                </pt>
                <pt idx="33">
                  <v>0.3792649659351053</v>
                </pt>
                <pt idx="34">
                  <v>0.3828661706597394</v>
                </pt>
                <pt idx="35">
                  <v>0.3863646333104866</v>
                </pt>
                <pt idx="36">
                  <v>0.3867635820302192</v>
                </pt>
                <pt idx="37">
                  <v>0.386061781619043</v>
                </pt>
                <pt idx="38">
                  <v>0.3902579444632925</v>
                </pt>
                <pt idx="39">
                  <v>0.3882552911503454</v>
                </pt>
                <pt idx="40">
                  <v>0.3822500334122663</v>
                </pt>
                <pt idx="41">
                  <v>0.3725373011575867</v>
                </pt>
                <pt idx="42">
                  <v>0.3692339324572075</v>
                </pt>
                <pt idx="43">
                  <v>0.3740356937248129</v>
                </pt>
                <pt idx="44">
                  <v>0.3713327187929422</v>
                </pt>
                <pt idx="45">
                  <v>0.3702307602683865</v>
                </pt>
                <pt idx="46">
                  <v>0.3641232125172623</v>
                </pt>
                <pt idx="47">
                  <v>0.363721720774993</v>
                </pt>
                <pt idx="48">
                  <v>0.3624196859054975</v>
                </pt>
                <pt idx="49">
                  <v>0.3571152475464663</v>
                </pt>
                <pt idx="50">
                  <v>0.3572140837830892</v>
                </pt>
                <pt idx="51">
                  <v>0.3582110010005893</v>
                </pt>
                <pt idx="52">
                  <v>0.358710066511553</v>
                </pt>
                <pt idx="53">
                  <v>0.3638118082445259</v>
                </pt>
                <pt idx="54">
                  <v>0.360308534734144</v>
                </pt>
                <pt idx="55">
                  <v>0.3622083938704461</v>
                </pt>
                <pt idx="56">
                  <v>0.3652063666112701</v>
                </pt>
                <pt idx="57">
                  <v>0.3640044408503406</v>
                </pt>
                <pt idx="58">
                  <v>0.3669048133033166</v>
                </pt>
                <pt idx="59">
                  <v>0.3677040001644748</v>
                </pt>
                <pt idx="60">
                  <v>0.3672024643724794</v>
                </pt>
                <pt idx="61">
                  <v>0.3676989603963788</v>
                </pt>
                <pt idx="62">
                  <v>0.3666971625154621</v>
                </pt>
                <pt idx="63">
                  <v>0.3656953714998423</v>
                </pt>
                <pt idx="64">
                  <v>0.3629926844729223</v>
                </pt>
                <pt idx="65">
                  <v>0.3601899631997698</v>
                </pt>
                <pt idx="66">
                  <v>0.3601862607033089</v>
                </pt>
                <pt idx="67">
                  <v>0.3581839986294329</v>
                </pt>
                <pt idx="68">
                  <v>0.3551812397421972</v>
                </pt>
                <pt idx="69">
                  <v>0.3551800227512575</v>
                </pt>
                <pt idx="70">
                  <v>0.3531777984122144</v>
                </pt>
                <pt idx="71">
                  <v>0.3470687800231619</v>
                </pt>
                <pt idx="72">
                  <v>0.3479680256562244</v>
                </pt>
                <pt idx="73">
                  <v>0.3481669293496882</v>
                </pt>
                <pt idx="74">
                  <v>0.3441614730198758</v>
                </pt>
                <pt idx="75">
                  <v>0.3411588959241291</v>
                </pt>
                <pt idx="76">
                  <v>0.3431586521165607</v>
                </pt>
                <pt idx="77">
                  <v>0.346158853720543</v>
                </pt>
                <pt idx="78">
                  <v>0.3486588069223311</v>
                </pt>
                <pt idx="79">
                  <v>0.3506561140233665</v>
                </pt>
                <pt idx="80">
                  <v>0.344652260759034</v>
                </pt>
                <pt idx="81">
                  <v>0.3356471329898037</v>
                </pt>
                <pt idx="82">
                  <v>0.3381470708150462</v>
                </pt>
                <pt idx="83">
                  <v>0.335144617197832</v>
                </pt>
                <pt idx="84">
                  <v>0.3306392761334397</v>
                </pt>
                <pt idx="85">
                  <v>0.3261362624110073</v>
                </pt>
                <pt idx="86">
                  <v>0.3211330722662473</v>
                </pt>
                <pt idx="87">
                  <v>0.3206317664793751</v>
                </pt>
                <pt idx="88">
                  <v>0.3276335218804924</v>
                </pt>
                <pt idx="89">
                  <v>0.3366337312082882</v>
                </pt>
                <pt idx="90">
                  <v>0.3426349418435343</v>
                </pt>
                <pt idx="91">
                  <v>0.3406329868510308</v>
                </pt>
                <pt idx="92">
                  <v>0.3393313165711389</v>
                </pt>
                <pt idx="93">
                  <v>0.3446321876884285</v>
                </pt>
                <pt idx="94">
                  <v>0.3531318197546344</v>
                </pt>
                <pt idx="95">
                  <v>0.3533306839515986</v>
                </pt>
                <pt idx="96">
                  <v>0.3481263746428498</v>
                </pt>
                <pt idx="97">
                  <v>0.3475249661693418</v>
                </pt>
                <pt idx="98">
                  <v>0.3432198918800403</v>
                </pt>
                <pt idx="99">
                  <v>0.3401176434314609</v>
                </pt>
                <pt idx="100">
                  <v>0.3391161356628982</v>
                </pt>
                <pt idx="101">
                  <v>0.3391103269899454</v>
                </pt>
                <pt idx="102">
                  <v>0.3371085212362884</v>
                </pt>
                <pt idx="103">
                  <v>0.3243032883760924</v>
                </pt>
                <pt idx="104">
                  <v>0.3332049823917125</v>
                </pt>
                <pt idx="105">
                  <v>0.3311031862669531</v>
                </pt>
                <pt idx="106">
                  <v>0.3371015922606813</v>
                </pt>
                <pt idx="107">
                  <v>0.3385008547067106</v>
                </pt>
                <pt idx="108">
                  <v>0.3365991353617846</v>
                </pt>
                <pt idx="109">
                  <v>0.3350975455183872</v>
                </pt>
                <pt idx="110">
                  <v>0.3360966853478398</v>
                </pt>
                <pt idx="111">
                  <v>0.3350929538673399</v>
                </pt>
                <pt idx="112">
                  <v>0.336592217045766</v>
                </pt>
                <pt idx="113">
                  <v>0.3380914699524871</v>
                </pt>
                <pt idx="114">
                  <v>0.342091380574263</v>
                </pt>
                <pt idx="115">
                  <v>0.3387893382844106</v>
                </pt>
                <pt idx="116">
                  <v>0.3375855525030316</v>
                </pt>
                <pt idx="117">
                  <v>0.3390847711927982</v>
                </pt>
                <pt idx="118">
                  <v>0.3430845962018031</v>
                </pt>
                <pt idx="119">
                  <v>0.3390824481295109</v>
                </pt>
                <pt idx="120">
                  <v>0.3406816702634193</v>
                </pt>
                <pt idx="121">
                  <v>0.3365772283366389</v>
                </pt>
                <pt idx="122">
                  <v>0.336576075414306</v>
                </pt>
                <pt idx="123">
                  <v>0.3387754123349375</v>
                </pt>
                <pt idx="124">
                  <v>0.3352734845993643</v>
                </pt>
                <pt idx="125">
                  <v>0.3345721850947294</v>
                </pt>
                <pt idx="126">
                  <v>0.3354689319723231</v>
                </pt>
                <pt idx="127">
                  <v>0.3315669947009841</v>
                </pt>
                <pt idx="128">
                  <v>0.3340663556459845</v>
                </pt>
                <pt idx="129">
                  <v>0.3353654651764215</v>
                </pt>
                <pt idx="130">
                  <v>0.3450661770750555</v>
                </pt>
                <pt idx="131">
                  <v>0.3520639020096114</v>
                </pt>
                <pt idx="132">
                  <v>0.3550632304382972</v>
                </pt>
                <pt idx="133">
                  <v>0.3515614028477577</v>
                </pt>
                <pt idx="134">
                  <v>0.3525603699263573</v>
                </pt>
                <pt idx="135">
                  <v>0.3507588602196944</v>
                </pt>
                <pt idx="136">
                  <v>0.3665552343503816</v>
                </pt>
                <pt idx="137">
                  <v>0.3665539788393496</v>
                </pt>
                <pt idx="138">
                  <v>0.3632522486111016</v>
                </pt>
                <pt idx="139">
                  <v>0.3625484225632876</v>
                </pt>
                <pt idx="140">
                  <v>0.3680478966440838</v>
                </pt>
                <pt idx="141">
                  <v>0.3760476498734429</v>
                </pt>
                <pt idx="142">
                  <v>0.3696455727418449</v>
                </pt>
                <pt idx="143">
                  <v>0.3701443666192865</v>
                </pt>
                <pt idx="144">
                  <v>0.3730408811924594</v>
                </pt>
                <pt idx="145">
                  <v>0.3755398689586908</v>
                </pt>
                <pt idx="146">
                  <v>0.3815391992327979</v>
                </pt>
                <pt idx="147">
                  <v>0.3833380712468019</v>
                </pt>
                <pt idx="148">
                  <v>0.3866370747879934</v>
                </pt>
                <pt idx="149">
                  <v>0.3870331363986643</v>
                </pt>
                <pt idx="150">
                  <v>0.3825314409403512</v>
                </pt>
                <pt idx="151">
                  <v>0.3854303592406251</v>
                </pt>
                <pt idx="152">
                  <v>0.3798286172245854</v>
                </pt>
                <pt idx="153">
                  <v>0.3790272588097089</v>
                </pt>
                <pt idx="154">
                  <v>0.3732217286622851</v>
                </pt>
                <pt idx="155">
                  <v>0.3735204668748973</v>
                </pt>
                <pt idx="156">
                  <v>0.3711190643354967</v>
                </pt>
                <pt idx="157">
                  <v>0.3620173569965683</v>
                </pt>
                <pt idx="158">
                  <v>0.3600135621547387</v>
                </pt>
                <pt idx="159">
                  <v>0.3535121065789925</v>
                </pt>
                <pt idx="160">
                  <v>0.3501107910860266</v>
                </pt>
                <pt idx="161">
                  <v>0.3525096577988438</v>
                </pt>
                <pt idx="162">
                  <v>0.357308565616299</v>
                </pt>
                <pt idx="163">
                  <v>0.3566048849984246</v>
                </pt>
                <pt idx="164">
                  <v>0.354003637023668</v>
                </pt>
                <pt idx="165">
                  <v>0.3570024452222276</v>
                </pt>
                <pt idx="166">
                  <v>0.356601221237059</v>
                </pt>
                <pt idx="167">
                  <v>0.3595963055174091</v>
                </pt>
                <pt idx="168">
                  <v>0.3649950000684922</v>
                </pt>
                <pt idx="169">
                  <v>0.3681936953134364</v>
                </pt>
                <pt idx="170">
                  <v>0.3699923974164914</v>
                </pt>
                <pt idx="171">
                  <v>0.3719910824055588</v>
                </pt>
                <pt idx="172">
                  <v>0.3764871066059381</v>
                </pt>
                <pt idx="173">
                  <v>0.3819856101311253</v>
                </pt>
                <pt idx="174">
                  <v>0.3814843225620865</v>
                </pt>
                <pt idx="175">
                  <v>0.3854828380928246</v>
                </pt>
                <pt idx="176">
                  <v>0.3858814988322478</v>
                </pt>
                <pt idx="177">
                  <v>0.3844776160292038</v>
                </pt>
                <pt idx="178">
                  <v>0.3839763302262189</v>
                </pt>
                <pt idx="179">
                  <v>0.3844749827922156</v>
                </pt>
                <pt idx="180">
                  <v>0.3844736661872475</v>
                </pt>
                <pt idx="181">
                  <v>0.3847723280175055</v>
                </pt>
                <pt idx="182">
                  <v>0.3829698345678251</v>
                </pt>
                <pt idx="183">
                  <v>0.3822685806646029</v>
                </pt>
                <pt idx="184">
                  <v>0.3814673401249893</v>
                </pt>
                <pt idx="185">
                  <v>0.3769664344955587</v>
                </pt>
                <pt idx="186">
                  <v>0.3739654210055919</v>
                </pt>
                <pt idx="187">
                  <v>0.3739602987354082</v>
                </pt>
                <pt idx="188">
                  <v>0.3773586456278764</v>
                </pt>
                <pt idx="189">
                  <v>0.3780572743491318</v>
                </pt>
                <pt idx="190">
                  <v>0.3839552928768568</v>
                </pt>
                <pt idx="191">
                  <v>0.3774547571352749</v>
                </pt>
                <pt idx="192">
                  <v>0.3774495872126668</v>
                </pt>
                <pt idx="193">
                  <v>0.376448431721682</v>
                </pt>
                <pt idx="194">
                  <v>0.3724477042607031</v>
                </pt>
                <pt idx="195">
                  <v>0.3719465008457688</v>
                </pt>
                <pt idx="196">
                  <v>0.3739423718947422</v>
                </pt>
                <pt idx="197">
                  <v>0.3774405401888744</v>
                </pt>
                <pt idx="198">
                  <v>0.3766393765387078</v>
                </pt>
                <pt idx="199">
                  <v>0.3749383662959513</v>
                </pt>
                <pt idx="200">
                  <v>0.377936579135693</v>
                </pt>
                <pt idx="201">
                  <v>0.3839316286140824</v>
                </pt>
                <pt idx="202">
                  <v>0.3844302232813908</v>
                </pt>
                <pt idx="203">
                  <v>0.3869284447396715</v>
                </pt>
                <pt idx="204">
                  <v>0.3939258016469501</v>
                </pt>
                <pt idx="205">
                  <v>0.3924247404607336</v>
                </pt>
                <pt idx="206">
                  <v>0.3959200024652553</v>
                </pt>
                <pt idx="207">
                  <v>0.3969184414161474</v>
                </pt>
                <pt idx="208">
                  <v>0.3914182311229503</v>
                </pt>
                <pt idx="209">
                  <v>0.3889174216433497</v>
                </pt>
                <pt idx="210">
                  <v>0.3859167371423289</v>
                </pt>
                <pt idx="211">
                  <v>0.3964104003889531</v>
                </pt>
                <pt idx="212">
                  <v>0.3939096166290611</v>
                </pt>
                <pt idx="213">
                  <v>0.3944081515263569</v>
                </pt>
                <pt idx="214">
                  <v>0.3949066830098367</v>
                </pt>
                <pt idx="215">
                  <v>0.3919060499195399</v>
                </pt>
                <pt idx="216">
                  <v>0.3861034741314671</v>
                </pt>
                <pt idx="217">
                  <v>0.3873018481617673</v>
                </pt>
                <pt idx="218">
                  <v>0.3835014979029359</v>
                </pt>
                <pt idx="219">
                  <v>0.3799011216258782</v>
                </pt>
                <pt idx="220">
                  <v>0.3734015345268543</v>
                </pt>
                <pt idx="221">
                  <v>0.3778964667214462</v>
                </pt>
                <pt idx="222">
                  <v>0.3788948955940304</v>
                </pt>
                <pt idx="223">
                  <v>0.3818927561438227</v>
                </pt>
                <pt idx="224">
                  <v>0.3798920169951692</v>
                </pt>
                <pt idx="225">
                  <v>0.3798907163692636</v>
                </pt>
                <pt idx="226">
                  <v>0.3778874102579026</v>
                </pt>
                <pt idx="227">
                  <v>0.3798855139546986</v>
                </pt>
                <pt idx="228">
                  <v>0.3733861939340407</v>
                </pt>
                <pt idx="229">
                  <v>0.3723852237324112</v>
                </pt>
                <pt idx="230">
                  <v>0.3838751091254557</v>
                </pt>
                <pt idx="231">
                  <v>0.3748767528483786</v>
                </pt>
                <pt idx="232">
                  <v>0.3698771298575473</v>
                </pt>
                <pt idx="233">
                  <v>0.3698758635800314</v>
                </pt>
                <pt idx="234">
                  <v>0.3728710274870678</v>
                </pt>
              </numCache>
            </numRef>
          </val>
          <smooth val="0"/>
        </ser>
        <ser>
          <idx val="4"/>
          <order val="4"/>
          <tx>
            <strRef>
              <f>'Grafico Paridades'!$F$1:$F$2</f>
              <strCache>
                <ptCount val="1"/>
                <pt idx="0">
                  <v>Suma de P41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Paridades'!$A$3:$A$238</f>
              <strCache>
                <ptCount val="235"/>
                <pt idx="0">
                  <v>28/10/2020</v>
                </pt>
                <pt idx="1">
                  <v>29/10/2020</v>
                </pt>
                <pt idx="2">
                  <v>30/10/2020</v>
                </pt>
                <pt idx="3">
                  <v>2/11/2020</v>
                </pt>
                <pt idx="4">
                  <v>3/11/2020</v>
                </pt>
                <pt idx="5">
                  <v>4/11/2020</v>
                </pt>
                <pt idx="6">
                  <v>5/11/2020</v>
                </pt>
                <pt idx="7">
                  <v>6/11/2020</v>
                </pt>
                <pt idx="8">
                  <v>9/11/2020</v>
                </pt>
                <pt idx="9">
                  <v>10/11/2020</v>
                </pt>
                <pt idx="10">
                  <v>11/11/2020</v>
                </pt>
                <pt idx="11">
                  <v>12/11/2020</v>
                </pt>
                <pt idx="12">
                  <v>13/11/2020</v>
                </pt>
                <pt idx="13">
                  <v>16/11/2020</v>
                </pt>
                <pt idx="14">
                  <v>17/11/2020</v>
                </pt>
                <pt idx="15">
                  <v>18/11/2020</v>
                </pt>
                <pt idx="16">
                  <v>19/11/2020</v>
                </pt>
                <pt idx="17">
                  <v>20/11/2020</v>
                </pt>
                <pt idx="18">
                  <v>24/11/2020</v>
                </pt>
                <pt idx="19">
                  <v>25/11/2020</v>
                </pt>
                <pt idx="20">
                  <v>26/11/2020</v>
                </pt>
                <pt idx="21">
                  <v>27/11/2020</v>
                </pt>
                <pt idx="22">
                  <v>30/11/2020</v>
                </pt>
                <pt idx="23">
                  <v>1/12/2020</v>
                </pt>
                <pt idx="24">
                  <v>2/12/2020</v>
                </pt>
                <pt idx="25">
                  <v>3/12/2020</v>
                </pt>
                <pt idx="26">
                  <v>4/12/2020</v>
                </pt>
                <pt idx="27">
                  <v>9/12/2020</v>
                </pt>
                <pt idx="28">
                  <v>10/12/2020</v>
                </pt>
                <pt idx="29">
                  <v>11/12/2020</v>
                </pt>
                <pt idx="30">
                  <v>14/12/2020</v>
                </pt>
                <pt idx="31">
                  <v>15/12/2020</v>
                </pt>
                <pt idx="32">
                  <v>16/12/2020</v>
                </pt>
                <pt idx="33">
                  <v>17/12/2020</v>
                </pt>
                <pt idx="34">
                  <v>18/12/2020</v>
                </pt>
                <pt idx="35">
                  <v>21/12/2020</v>
                </pt>
                <pt idx="36">
                  <v>22/12/2020</v>
                </pt>
                <pt idx="37">
                  <v>23/12/2020</v>
                </pt>
                <pt idx="38">
                  <v>28/12/2020</v>
                </pt>
                <pt idx="39">
                  <v>29/12/2020</v>
                </pt>
                <pt idx="40">
                  <v>30/12/2020</v>
                </pt>
                <pt idx="41">
                  <v>4/1/2021</v>
                </pt>
                <pt idx="42">
                  <v>5/1/2021</v>
                </pt>
                <pt idx="43">
                  <v>6/1/2021</v>
                </pt>
                <pt idx="44">
                  <v>7/1/2021</v>
                </pt>
                <pt idx="45">
                  <v>8/1/2021</v>
                </pt>
                <pt idx="46">
                  <v>11/1/2021</v>
                </pt>
                <pt idx="47">
                  <v>12/1/2021</v>
                </pt>
                <pt idx="48">
                  <v>13/1/2021</v>
                </pt>
                <pt idx="49">
                  <v>14/1/2021</v>
                </pt>
                <pt idx="50">
                  <v>15/1/2021</v>
                </pt>
                <pt idx="51">
                  <v>18/1/2021</v>
                </pt>
                <pt idx="52">
                  <v>19/1/2021</v>
                </pt>
                <pt idx="53">
                  <v>20/1/2021</v>
                </pt>
                <pt idx="54">
                  <v>21/1/2021</v>
                </pt>
                <pt idx="55">
                  <v>22/1/2021</v>
                </pt>
                <pt idx="56">
                  <v>25/1/2021</v>
                </pt>
                <pt idx="57">
                  <v>26/1/2021</v>
                </pt>
                <pt idx="58">
                  <v>27/1/2021</v>
                </pt>
                <pt idx="59">
                  <v>28/1/2021</v>
                </pt>
                <pt idx="60">
                  <v>29/1/2021</v>
                </pt>
                <pt idx="61">
                  <v>1/2/2021</v>
                </pt>
                <pt idx="62">
                  <v>2/2/2021</v>
                </pt>
                <pt idx="63">
                  <v>3/2/2021</v>
                </pt>
                <pt idx="64">
                  <v>4/2/2021</v>
                </pt>
                <pt idx="65">
                  <v>5/2/2021</v>
                </pt>
                <pt idx="66">
                  <v>8/2/2021</v>
                </pt>
                <pt idx="67">
                  <v>9/2/2021</v>
                </pt>
                <pt idx="68">
                  <v>10/2/2021</v>
                </pt>
                <pt idx="69">
                  <v>11/2/2021</v>
                </pt>
                <pt idx="70">
                  <v>12/2/2021</v>
                </pt>
                <pt idx="71">
                  <v>17/2/2021</v>
                </pt>
                <pt idx="72">
                  <v>18/2/2021</v>
                </pt>
                <pt idx="73">
                  <v>19/2/2021</v>
                </pt>
                <pt idx="74">
                  <v>22/2/2021</v>
                </pt>
                <pt idx="75">
                  <v>23/2/2021</v>
                </pt>
                <pt idx="76">
                  <v>24/2/2021</v>
                </pt>
                <pt idx="77">
                  <v>25/2/2021</v>
                </pt>
                <pt idx="78">
                  <v>26/2/2021</v>
                </pt>
                <pt idx="79">
                  <v>1/3/2021</v>
                </pt>
                <pt idx="80">
                  <v>2/3/2021</v>
                </pt>
                <pt idx="81">
                  <v>3/3/2021</v>
                </pt>
                <pt idx="82">
                  <v>4/3/2021</v>
                </pt>
                <pt idx="83">
                  <v>5/3/2021</v>
                </pt>
                <pt idx="84">
                  <v>8/3/2021</v>
                </pt>
                <pt idx="85">
                  <v>9/3/2021</v>
                </pt>
                <pt idx="86">
                  <v>10/3/2021</v>
                </pt>
                <pt idx="87">
                  <v>11/3/2021</v>
                </pt>
                <pt idx="88">
                  <v>12/3/2021</v>
                </pt>
                <pt idx="89">
                  <v>15/3/2021</v>
                </pt>
                <pt idx="90">
                  <v>16/3/2021</v>
                </pt>
                <pt idx="91">
                  <v>17/3/2021</v>
                </pt>
                <pt idx="92">
                  <v>18/3/2021</v>
                </pt>
                <pt idx="93">
                  <v>19/3/2021</v>
                </pt>
                <pt idx="94">
                  <v>22/3/2021</v>
                </pt>
                <pt idx="95">
                  <v>23/3/2021</v>
                </pt>
                <pt idx="96">
                  <v>25/3/2021</v>
                </pt>
                <pt idx="97">
                  <v>26/3/2021</v>
                </pt>
                <pt idx="98">
                  <v>29/3/2021</v>
                </pt>
                <pt idx="99">
                  <v>30/3/2021</v>
                </pt>
                <pt idx="100">
                  <v>31/3/2021</v>
                </pt>
                <pt idx="101">
                  <v>5/4/2021</v>
                </pt>
                <pt idx="102">
                  <v>6/4/2021</v>
                </pt>
                <pt idx="103">
                  <v>7/4/2021</v>
                </pt>
                <pt idx="104">
                  <v>8/4/2021</v>
                </pt>
                <pt idx="105">
                  <v>9/4/2021</v>
                </pt>
                <pt idx="106">
                  <v>12/4/2021</v>
                </pt>
                <pt idx="107">
                  <v>13/4/2021</v>
                </pt>
                <pt idx="108">
                  <v>14/4/2021</v>
                </pt>
                <pt idx="109">
                  <v>15/4/2021</v>
                </pt>
                <pt idx="110">
                  <v>16/4/2021</v>
                </pt>
                <pt idx="111">
                  <v>19/4/2021</v>
                </pt>
                <pt idx="112">
                  <v>20/4/2021</v>
                </pt>
                <pt idx="113">
                  <v>21/4/2021</v>
                </pt>
                <pt idx="114">
                  <v>22/4/2021</v>
                </pt>
                <pt idx="115">
                  <v>23/4/2021</v>
                </pt>
                <pt idx="116">
                  <v>26/4/2021</v>
                </pt>
                <pt idx="117">
                  <v>27/4/2021</v>
                </pt>
                <pt idx="118">
                  <v>28/4/2021</v>
                </pt>
                <pt idx="119">
                  <v>29/4/2021</v>
                </pt>
                <pt idx="120">
                  <v>30/4/2021</v>
                </pt>
                <pt idx="121">
                  <v>3/5/2021</v>
                </pt>
                <pt idx="122">
                  <v>4/5/2021</v>
                </pt>
                <pt idx="123">
                  <v>5/5/2021</v>
                </pt>
                <pt idx="124">
                  <v>6/5/2021</v>
                </pt>
                <pt idx="125">
                  <v>7/5/2021</v>
                </pt>
                <pt idx="126">
                  <v>10/5/2021</v>
                </pt>
                <pt idx="127">
                  <v>11/5/2021</v>
                </pt>
                <pt idx="128">
                  <v>12/5/2021</v>
                </pt>
                <pt idx="129">
                  <v>13/5/2021</v>
                </pt>
                <pt idx="130">
                  <v>14/5/2021</v>
                </pt>
                <pt idx="131">
                  <v>17/5/2021</v>
                </pt>
                <pt idx="132">
                  <v>18/5/2021</v>
                </pt>
                <pt idx="133">
                  <v>19/5/2021</v>
                </pt>
                <pt idx="134">
                  <v>20/5/2021</v>
                </pt>
                <pt idx="135">
                  <v>21/5/2021</v>
                </pt>
                <pt idx="136">
                  <v>26/5/2021</v>
                </pt>
                <pt idx="137">
                  <v>27/5/2021</v>
                </pt>
                <pt idx="138">
                  <v>28/5/2021</v>
                </pt>
                <pt idx="139">
                  <v>31/5/2021</v>
                </pt>
                <pt idx="140">
                  <v>1/6/2021</v>
                </pt>
                <pt idx="141">
                  <v>2/6/2021</v>
                </pt>
                <pt idx="142">
                  <v>3/6/2021</v>
                </pt>
                <pt idx="143">
                  <v>4/6/2021</v>
                </pt>
                <pt idx="144">
                  <v>7/6/2021</v>
                </pt>
                <pt idx="145">
                  <v>8/6/2021</v>
                </pt>
                <pt idx="146">
                  <v>9/6/2021</v>
                </pt>
                <pt idx="147">
                  <v>10/6/2021</v>
                </pt>
                <pt idx="148">
                  <v>11/6/2021</v>
                </pt>
                <pt idx="149">
                  <v>14/6/2021</v>
                </pt>
                <pt idx="150">
                  <v>15/6/2021</v>
                </pt>
                <pt idx="151">
                  <v>16/6/2021</v>
                </pt>
                <pt idx="152">
                  <v>17/6/2021</v>
                </pt>
                <pt idx="153">
                  <v>18/6/2021</v>
                </pt>
                <pt idx="154">
                  <v>22/6/2021</v>
                </pt>
                <pt idx="155">
                  <v>23/6/2021</v>
                </pt>
                <pt idx="156">
                  <v>24/6/2021</v>
                </pt>
                <pt idx="157">
                  <v>25/6/2021</v>
                </pt>
                <pt idx="158">
                  <v>28/6/2021</v>
                </pt>
                <pt idx="159">
                  <v>29/6/2021</v>
                </pt>
                <pt idx="160">
                  <v>30/6/2021</v>
                </pt>
                <pt idx="161">
                  <v>1/7/2021</v>
                </pt>
                <pt idx="162">
                  <v>2/7/2021</v>
                </pt>
                <pt idx="163">
                  <v>5/7/2021</v>
                </pt>
                <pt idx="164">
                  <v>6/7/2021</v>
                </pt>
                <pt idx="165">
                  <v>7/7/2021</v>
                </pt>
                <pt idx="166">
                  <v>8/7/2021</v>
                </pt>
                <pt idx="167">
                  <v>12/7/2021</v>
                </pt>
                <pt idx="168">
                  <v>13/7/2021</v>
                </pt>
                <pt idx="169">
                  <v>14/7/2021</v>
                </pt>
                <pt idx="170">
                  <v>15/7/2021</v>
                </pt>
                <pt idx="171">
                  <v>16/7/2021</v>
                </pt>
                <pt idx="172">
                  <v>19/7/2021</v>
                </pt>
                <pt idx="173">
                  <v>20/7/2021</v>
                </pt>
                <pt idx="174">
                  <v>21/7/2021</v>
                </pt>
                <pt idx="175">
                  <v>22/7/2021</v>
                </pt>
                <pt idx="176">
                  <v>23/7/2021</v>
                </pt>
                <pt idx="177">
                  <v>26/7/2021</v>
                </pt>
                <pt idx="178">
                  <v>27/7/2021</v>
                </pt>
                <pt idx="179">
                  <v>28/7/2021</v>
                </pt>
                <pt idx="180">
                  <v>29/7/2021</v>
                </pt>
                <pt idx="181">
                  <v>30/7/2021</v>
                </pt>
                <pt idx="182">
                  <v>1/8/2021</v>
                </pt>
                <pt idx="183">
                  <v>2/8/2021</v>
                </pt>
                <pt idx="184">
                  <v>3/8/2021</v>
                </pt>
                <pt idx="185">
                  <v>4/8/2021</v>
                </pt>
                <pt idx="186">
                  <v>5/8/2021</v>
                </pt>
                <pt idx="187">
                  <v>9/8/2021</v>
                </pt>
                <pt idx="188">
                  <v>10/8/2021</v>
                </pt>
                <pt idx="189">
                  <v>11/8/2021</v>
                </pt>
                <pt idx="190">
                  <v>12/8/2021</v>
                </pt>
                <pt idx="191">
                  <v>13/8/2021</v>
                </pt>
                <pt idx="192">
                  <v>17/8/2021</v>
                </pt>
                <pt idx="193">
                  <v>18/8/2021</v>
                </pt>
                <pt idx="194">
                  <v>19/8/2021</v>
                </pt>
                <pt idx="195">
                  <v>20/8/2021</v>
                </pt>
                <pt idx="196">
                  <v>23/8/2021</v>
                </pt>
                <pt idx="197">
                  <v>24/8/2021</v>
                </pt>
                <pt idx="198">
                  <v>25/8/2021</v>
                </pt>
                <pt idx="199">
                  <v>26/8/2021</v>
                </pt>
                <pt idx="200">
                  <v>27/8/2021</v>
                </pt>
                <pt idx="201">
                  <v>30/8/2021</v>
                </pt>
                <pt idx="202">
                  <v>31/8/2021</v>
                </pt>
                <pt idx="203">
                  <v>1/9/2021</v>
                </pt>
                <pt idx="204">
                  <v>2/9/2021</v>
                </pt>
                <pt idx="205">
                  <v>3/9/2021</v>
                </pt>
                <pt idx="206">
                  <v>6/9/2021</v>
                </pt>
                <pt idx="207">
                  <v>7/9/2021</v>
                </pt>
                <pt idx="208">
                  <v>8/9/2021</v>
                </pt>
                <pt idx="209">
                  <v>9/9/2021</v>
                </pt>
                <pt idx="210">
                  <v>10/9/2021</v>
                </pt>
                <pt idx="211">
                  <v>13/9/2021</v>
                </pt>
                <pt idx="212">
                  <v>14/9/2021</v>
                </pt>
                <pt idx="213">
                  <v>15/9/2021</v>
                </pt>
                <pt idx="214">
                  <v>16/9/2021</v>
                </pt>
                <pt idx="215">
                  <v>17/9/2021</v>
                </pt>
                <pt idx="216">
                  <v>20/9/2021</v>
                </pt>
                <pt idx="217">
                  <v>21/9/2021</v>
                </pt>
                <pt idx="218">
                  <v>22/9/2021</v>
                </pt>
                <pt idx="219">
                  <v>23/9/2021</v>
                </pt>
                <pt idx="220">
                  <v>24/9/2021</v>
                </pt>
                <pt idx="221">
                  <v>27/9/2021</v>
                </pt>
                <pt idx="222">
                  <v>28/9/2021</v>
                </pt>
                <pt idx="223">
                  <v>29/9/2021</v>
                </pt>
                <pt idx="224">
                  <v>30/9/2021</v>
                </pt>
                <pt idx="225">
                  <v>1/10/2021</v>
                </pt>
                <pt idx="226">
                  <v>4/10/2021</v>
                </pt>
                <pt idx="227">
                  <v>5/10/2021</v>
                </pt>
                <pt idx="228">
                  <v>6/10/2021</v>
                </pt>
                <pt idx="229">
                  <v>7/10/2021</v>
                </pt>
                <pt idx="230">
                  <v>12/10/2021</v>
                </pt>
                <pt idx="231">
                  <v>13/10/2021</v>
                </pt>
                <pt idx="232">
                  <v>14/10/2021</v>
                </pt>
                <pt idx="233">
                  <v>15/10/2021</v>
                </pt>
                <pt idx="234">
                  <v>18/10/2021</v>
                </pt>
              </strCache>
            </strRef>
          </cat>
          <val>
            <numRef>
              <f>'Grafico Paridades'!$F$3:$F$238</f>
              <numCache>
                <formatCode>0.00%</formatCode>
                <ptCount val="235"/>
                <pt idx="0">
                  <v>0.3381941826109012</v>
                </pt>
                <pt idx="1">
                  <v>0.3367918093416556</v>
                </pt>
                <pt idx="2">
                  <v>0.3352893593100895</v>
                </pt>
                <pt idx="3">
                  <v>0.3362867650839243</v>
                </pt>
                <pt idx="4">
                  <v>0.3404891825934355</v>
                </pt>
                <pt idx="5">
                  <v>0.3402878462260885</v>
                </pt>
                <pt idx="6">
                  <v>0.346391823248353</v>
                </pt>
                <pt idx="7">
                  <v>0.3461904680296825</v>
                </pt>
                <pt idx="8">
                  <v>0.3477882354554117</v>
                </pt>
                <pt idx="9">
                  <v>0.3522907605249538</v>
                </pt>
                <pt idx="10">
                  <v>0.3541911159857417</v>
                </pt>
                <pt idx="11">
                  <v>0.3567920318342753</v>
                </pt>
                <pt idx="12">
                  <v>0.3591927667071106</v>
                </pt>
                <pt idx="13">
                  <v>0.3620914091820472</v>
                </pt>
                <pt idx="14">
                  <v>0.3582871205006752</v>
                </pt>
                <pt idx="15">
                  <v>0.3567846946364736</v>
                </pt>
                <pt idx="16">
                  <v>0.3527802911902608</v>
                </pt>
                <pt idx="17">
                  <v>0.3522786862209488</v>
                </pt>
                <pt idx="18">
                  <v>0.350272300726935</v>
                </pt>
                <pt idx="19">
                  <v>0.3542656992744558</v>
                </pt>
                <pt idx="20">
                  <v>0.3492691286093736</v>
                </pt>
                <pt idx="21">
                  <v>0.3502686992761571</v>
                </pt>
                <pt idx="22">
                  <v>0.3502650978994376</v>
                </pt>
                <pt idx="23">
                  <v>0.3462608814860512</v>
                </pt>
                <pt idx="24">
                  <v>0.3472604453340005</v>
                </pt>
                <pt idx="25">
                  <v>0.3472592551973734</v>
                </pt>
                <pt idx="26">
                  <v>0.3449563545511561</v>
                </pt>
                <pt idx="27">
                  <v>0.3449504434726582</v>
                </pt>
                <pt idx="28">
                  <v>0.34775128603203</v>
                </pt>
                <pt idx="29">
                  <v>0.3494513177285034</v>
                </pt>
                <pt idx="30">
                  <v>0.3482468736398748</v>
                </pt>
                <pt idx="31">
                  <v>0.3482456801716279</v>
                </pt>
                <pt idx="32">
                  <v>0.3482444867115612</v>
                </pt>
                <pt idx="33">
                  <v>0.3507450410560802</v>
                </pt>
                <pt idx="34">
                  <v>0.3552469696398524</v>
                </pt>
                <pt idx="35">
                  <v>0.355743660041124</v>
                </pt>
                <pt idx="36">
                  <v>0.3597451687965429</v>
                </pt>
                <pt idx="37">
                  <v>0.3572422396008252</v>
                </pt>
                <pt idx="38">
                  <v>0.3572361183933216</v>
                </pt>
                <pt idx="39">
                  <v>0.3577352231604343</v>
                </pt>
                <pt idx="40">
                  <v>0.359234979044512</v>
                </pt>
                <pt idx="41">
                  <v>0.3482218125244162</v>
                </pt>
                <pt idx="42">
                  <v>0.3452187173380395</v>
                </pt>
                <pt idx="43">
                  <v>0.3462181648710146</v>
                </pt>
                <pt idx="44">
                  <v>0.348718546212181</v>
                </pt>
                <pt idx="45">
                  <v>0.3462157920347614</v>
                </pt>
                <pt idx="46">
                  <v>0.3452116194516501</v>
                </pt>
                <pt idx="47">
                  <v>0.3472116564206948</v>
                </pt>
                <pt idx="48">
                  <v>0.3427077372242763</v>
                </pt>
                <pt idx="49">
                  <v>0.3382038488952245</v>
                </pt>
                <pt idx="50">
                  <v>0.3367017904566093</v>
                </pt>
                <pt idx="51">
                  <v>0.3381992132351933</v>
                </pt>
                <pt idx="52">
                  <v>0.3386983473198346</v>
                </pt>
                <pt idx="53">
                  <v>0.33889730322448</v>
                </pt>
                <pt idx="54">
                  <v>0.3341934201644102</v>
                </pt>
                <pt idx="55">
                  <v>0.3371940020285644</v>
                </pt>
                <pt idx="56">
                  <v>0.3361899703599637</v>
                </pt>
                <pt idx="57">
                  <v>0.3361888183774449</v>
                </pt>
                <pt idx="58">
                  <v>0.339089286142607</v>
                </pt>
                <pt idx="59">
                  <v>0.3371870695385796</v>
                </pt>
                <pt idx="60">
                  <v>0.3350847556358129</v>
                </pt>
                <pt idx="61">
                  <v>0.3361819066481178</v>
                </pt>
                <pt idx="62">
                  <v>0.3356804857406208</v>
                </pt>
                <pt idx="63">
                  <v>0.3336782664711284</v>
                </pt>
                <pt idx="64">
                  <v>0.3370789288834826</v>
                </pt>
                <pt idx="65">
                  <v>0.3376780904997841</v>
                </pt>
                <pt idx="66">
                  <v>0.3371743607139309</v>
                </pt>
                <pt idx="67">
                  <v>0.3369731026212095</v>
                </pt>
                <pt idx="68">
                  <v>0.3344706716783564</v>
                </pt>
                <pt idx="69">
                  <v>0.3352699313350602</v>
                </pt>
                <pt idx="70">
                  <v>0.3341682285260045</v>
                </pt>
                <pt idx="71">
                  <v>0.3286598277244414</v>
                </pt>
                <pt idx="72">
                  <v>0.3287587499443224</v>
                </pt>
                <pt idx="73">
                  <v>0.3301582950729802</v>
                </pt>
                <pt idx="74">
                  <v>0.3275536810078701</v>
                </pt>
                <pt idx="75">
                  <v>0.327552558725982</v>
                </pt>
                <pt idx="76">
                  <v>0.3311531016051942</v>
                </pt>
                <pt idx="77">
                  <v>0.3321524261133534</v>
                </pt>
                <pt idx="78">
                  <v>0.3311508323996889</v>
                </pt>
                <pt idx="79">
                  <v>0.332147874053517</v>
                </pt>
                <pt idx="80">
                  <v>0.3226425372853076</v>
                </pt>
                <pt idx="81">
                  <v>0.3205405109088916</v>
                </pt>
                <pt idx="82">
                  <v>0.3231405440037276</v>
                </pt>
                <pt idx="83">
                  <v>0.3227392642030465</v>
                </pt>
                <pt idx="84">
                  <v>0.3201348513243593</v>
                </pt>
                <pt idx="85">
                  <v>0.3199336709173011</v>
                </pt>
                <pt idx="86">
                  <v>0.3143302532898907</v>
                </pt>
                <pt idx="87">
                  <v>0.3151295052761409</v>
                </pt>
                <pt idx="88">
                  <v>0.3251325026294963</v>
                </pt>
                <pt idx="89">
                  <v>0.3346329363719834</v>
                </pt>
                <pt idx="90">
                  <v>0.3350319475135756</v>
                </pt>
                <pt idx="91">
                  <v>0.3376318151607134</v>
                </pt>
                <pt idx="92">
                  <v>0.3396314327119742</v>
                </pt>
                <pt idx="93">
                  <v>0.3426314202707888</v>
                </pt>
                <pt idx="94">
                  <v>0.3486301393328332</v>
                </pt>
                <pt idx="95">
                  <v>0.3526304249516944</v>
                </pt>
                <pt idx="96">
                  <v>0.3461256483517989</v>
                </pt>
                <pt idx="97">
                  <v>0.3436235632676133</v>
                </pt>
                <pt idx="98">
                  <v>0.3381181097506663</v>
                </pt>
                <pt idx="99">
                  <v>0.3391172974213683</v>
                </pt>
                <pt idx="100">
                  <v>0.3356149366221308</v>
                </pt>
                <pt idx="101">
                  <v>0.3326082115756839</v>
                </pt>
                <pt idx="102">
                  <v>0.3301062670859797</v>
                </pt>
                <pt idx="103">
                  <v>0.3321057734141353</v>
                </pt>
                <pt idx="104">
                  <v>0.331104320539348</v>
                </pt>
                <pt idx="105">
                  <v>0.3314032797892494</v>
                </pt>
                <pt idx="106">
                  <v>0.3351009893392529</v>
                </pt>
                <pt idx="107">
                  <v>0.3350998413910994</v>
                </pt>
                <pt idx="108">
                  <v>0.3348986345293476</v>
                </pt>
                <pt idx="109">
                  <v>0.3310963807957796</v>
                </pt>
                <pt idx="110">
                  <v>0.3315953904547884</v>
                </pt>
                <pt idx="111">
                  <v>0.3315919827075319</v>
                </pt>
                <pt idx="112">
                  <v>0.330090435735818</v>
                </pt>
                <pt idx="113">
                  <v>0.3300893049831975</v>
                </pt>
                <pt idx="114">
                  <v>0.3345893766143011</v>
                </pt>
                <pt idx="115">
                  <v>0.3280865159648263</v>
                </pt>
                <pt idx="116">
                  <v>0.3280831443585018</v>
                </pt>
                <pt idx="117">
                  <v>0.3295823955988997</v>
                </pt>
                <pt idx="118">
                  <v>0.3315817598859992</v>
                </pt>
                <pt idx="119">
                  <v>0.3275796512165629</v>
                </pt>
                <pt idx="120">
                  <v>0.3295790086664612</v>
                </pt>
                <pt idx="121">
                  <v>0.3255747037847725</v>
                </pt>
                <pt idx="122">
                  <v>0.328374221570629</v>
                </pt>
                <pt idx="123">
                  <v>0.3280730299552982</v>
                </pt>
                <pt idx="124">
                  <v>0.3249712265702072</v>
                </pt>
                <pt idx="125">
                  <v>0.3230697033949105</v>
                </pt>
                <pt idx="126">
                  <v>0.3225662807426183</v>
                </pt>
                <pt idx="127">
                  <v>0.3200646706012516</v>
                </pt>
                <pt idx="128">
                  <v>0.3225640709455988</v>
                </pt>
                <pt idx="129">
                  <v>0.3221628879610061</v>
                </pt>
                <pt idx="130">
                  <v>0.330563395719727</v>
                </pt>
                <pt idx="131">
                  <v>0.3379613422984309</v>
                </pt>
                <pt idx="132">
                  <v>0.3350596681600833</v>
                </pt>
                <pt idx="133">
                  <v>0.3360586951830628</v>
                </pt>
                <pt idx="134">
                  <v>0.3300565165268025</v>
                </pt>
                <pt idx="135">
                  <v>0.3336559902175365</v>
                </pt>
                <pt idx="136">
                  <v>0.3470522955513845</v>
                </pt>
                <pt idx="137">
                  <v>0.352551916891871</v>
                </pt>
                <pt idx="138">
                  <v>0.3460497742826023</v>
                </pt>
                <pt idx="139">
                  <v>0.3440459513428163</v>
                </pt>
                <pt idx="140">
                  <v>0.3490454237195251</v>
                </pt>
                <pt idx="141">
                  <v>0.3536448111575782</v>
                </pt>
                <pt idx="142">
                  <v>0.3450425394911701</v>
                </pt>
                <pt idx="143">
                  <v>0.3461414895621051</v>
                </pt>
                <pt idx="144">
                  <v>0.3535387439719421</v>
                </pt>
                <pt idx="145">
                  <v>0.3590381170603728</v>
                </pt>
                <pt idx="146">
                  <v>0.364037401102853</v>
                </pt>
                <pt idx="147">
                  <v>0.3700367502251936</v>
                </pt>
                <pt idx="148">
                  <v>0.377036154151768</v>
                </pt>
                <pt idx="149">
                  <v>0.3800325370322802</v>
                </pt>
                <pt idx="150">
                  <v>0.3828314655999123</v>
                </pt>
                <pt idx="151">
                  <v>0.3720293036780294</v>
                </pt>
                <pt idx="152">
                  <v>0.3700278788127873</v>
                </pt>
                <pt idx="153">
                  <v>0.3690265395799013</v>
                </pt>
                <pt idx="154">
                  <v>0.3620210765695263</v>
                </pt>
                <pt idx="155">
                  <v>0.3600197271083347</v>
                </pt>
                <pt idx="156">
                  <v>0.3575183656694693</v>
                </pt>
                <pt idx="157">
                  <v>0.3475166617577555</v>
                </pt>
                <pt idx="158">
                  <v>0.3450129970649579</v>
                </pt>
                <pt idx="159">
                  <v>0.3410116784821398</v>
                </pt>
                <pt idx="160">
                  <v>0.3390104489521937</v>
                </pt>
                <pt idx="161">
                  <v>0.3435094112167457</v>
                </pt>
                <pt idx="162">
                  <v>0.3475083306791601</v>
                </pt>
                <pt idx="163">
                  <v>0.3490047808874094</v>
                </pt>
                <pt idx="164">
                  <v>0.3460035548310428</v>
                </pt>
                <pt idx="165">
                  <v>0.3470023767286077</v>
                </pt>
                <pt idx="166">
                  <v>0.3505012003465765</v>
                </pt>
                <pt idx="167">
                  <v>0.3524963784618651</v>
                </pt>
                <pt idx="168">
                  <v>0.3599950685607046</v>
                </pt>
                <pt idx="169">
                  <v>0.3627937877776066</v>
                </pt>
                <pt idx="170">
                  <v>0.3634925309753909</v>
                </pt>
                <pt idx="171">
                  <v>0.3674911902796851</v>
                </pt>
                <pt idx="172">
                  <v>0.365987466182665</v>
                </pt>
                <pt idx="173">
                  <v>0.3759858361500081</v>
                </pt>
                <pt idx="174">
                  <v>0.3784844458446913</v>
                </pt>
                <pt idx="175">
                  <v>0.3820829894559489</v>
                </pt>
                <pt idx="176">
                  <v>0.3849815419808639</v>
                </pt>
                <pt idx="177">
                  <v>0.3829777033528869</v>
                </pt>
                <pt idx="178">
                  <v>0.3829763918662548</v>
                </pt>
                <pt idx="179">
                  <v>0.3799752755813834</v>
                </pt>
                <pt idx="180">
                  <v>0.3814738716526265</v>
                </pt>
                <pt idx="181">
                  <v>0.380972601285524</v>
                </pt>
                <pt idx="182">
                  <v>0.3804700314701239</v>
                </pt>
                <pt idx="183">
                  <v>0.3789688518751883</v>
                </pt>
                <pt idx="184">
                  <v>0.3759678109750877</v>
                </pt>
                <pt idx="185">
                  <v>0.3714669241779842</v>
                </pt>
                <pt idx="186">
                  <v>0.3699657908344092</v>
                </pt>
                <pt idx="187">
                  <v>0.3707606384253727</v>
                </pt>
                <pt idx="188">
                  <v>0.3749589086127548</v>
                </pt>
                <pt idx="189">
                  <v>0.3754575681515445</v>
                </pt>
                <pt idx="190">
                  <v>0.378955875000856</v>
                </pt>
                <pt idx="191">
                  <v>0.3739551766055438</v>
                </pt>
                <pt idx="192">
                  <v>0.3639513900540681</v>
                </pt>
                <pt idx="193">
                  <v>0.366549787700315</v>
                </pt>
                <pt idx="194">
                  <v>0.3669484764125586</v>
                </pt>
                <pt idx="195">
                  <v>0.3659473637353531</v>
                </pt>
                <pt idx="196">
                  <v>0.369942988238114</v>
                </pt>
                <pt idx="197">
                  <v>0.371441485245475</v>
                </pt>
                <pt idx="198">
                  <v>0.3714402133903105</v>
                </pt>
                <pt idx="199">
                  <v>0.3709390237221279</v>
                </pt>
                <pt idx="200">
                  <v>0.3737372838119631</v>
                </pt>
                <pt idx="201">
                  <v>0.3819319847150508</v>
                </pt>
                <pt idx="202">
                  <v>0.383930314018346</v>
                </pt>
                <pt idx="203">
                  <v>0.3859286296369849</v>
                </pt>
                <pt idx="204">
                  <v>0.3919261782883361</v>
                </pt>
                <pt idx="205">
                  <v>0.3924247404607336</v>
                </pt>
                <pt idx="206">
                  <v>0.3934205075001969</v>
                </pt>
                <pt idx="207">
                  <v>0.3939190577278641</v>
                </pt>
                <pt idx="208">
                  <v>0.3904184399834281</v>
                </pt>
                <pt idx="209">
                  <v>0.3879176339270429</v>
                </pt>
                <pt idx="210">
                  <v>0.3894159821682309</v>
                </pt>
                <pt idx="211">
                  <v>0.3949107393534338</v>
                </pt>
                <pt idx="212">
                  <v>0.3939096166290611</v>
                </pt>
                <pt idx="213">
                  <v>0.3929085007600969</v>
                </pt>
                <pt idx="214">
                  <v>0.3924072736236985</v>
                </pt>
                <pt idx="215">
                  <v>0.3914061697538261</v>
                </pt>
                <pt idx="216">
                  <v>0.3849037740564859</v>
                </pt>
                <pt idx="217">
                  <v>0.3849024562268466</v>
                </pt>
                <pt idx="218">
                  <v>0.3819019087563126</v>
                </pt>
                <pt idx="219">
                  <v>0.3789013818321258</v>
                </pt>
                <pt idx="220">
                  <v>0.3793999527521852</v>
                </pt>
                <pt idx="221">
                  <v>0.3738975623116954</v>
                </pt>
                <pt idx="222">
                  <v>0.3788948955940304</v>
                </pt>
                <pt idx="223">
                  <v>0.3778938791161386</v>
                </pt>
                <pt idx="224">
                  <v>0.3748934378241801</v>
                </pt>
                <pt idx="225">
                  <v>0.3708933046657811</v>
                </pt>
                <pt idx="226">
                  <v>0.3708894952531266</v>
                </pt>
                <pt idx="227">
                  <v>0.3736873818849114</v>
                </pt>
                <pt idx="228">
                  <v>0.3688875650914618</v>
                </pt>
                <pt idx="229">
                  <v>0.3678866102913485</v>
                </pt>
                <pt idx="230">
                  <v>0.3687800201989079</v>
                </pt>
                <pt idx="231">
                  <v>0.3658797107800175</v>
                </pt>
                <pt idx="232">
                  <v>0.3708767977760812</v>
                </pt>
                <pt idx="233">
                  <v>0.3718751925723559</v>
                </pt>
                <pt idx="234">
                  <v>0.3638741394243772</v>
                </pt>
              </numCache>
            </numRef>
          </val>
          <smooth val="0"/>
        </ser>
        <ser>
          <idx val="5"/>
          <order val="5"/>
          <tx>
            <strRef>
              <f>'Grafico Paridades'!$G$1:$G$2</f>
              <strCache>
                <ptCount val="1"/>
                <pt idx="0">
                  <v>Suma de PG30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Paridades'!$A$3:$A$238</f>
              <strCache>
                <ptCount val="235"/>
                <pt idx="0">
                  <v>28/10/2020</v>
                </pt>
                <pt idx="1">
                  <v>29/10/2020</v>
                </pt>
                <pt idx="2">
                  <v>30/10/2020</v>
                </pt>
                <pt idx="3">
                  <v>2/11/2020</v>
                </pt>
                <pt idx="4">
                  <v>3/11/2020</v>
                </pt>
                <pt idx="5">
                  <v>4/11/2020</v>
                </pt>
                <pt idx="6">
                  <v>5/11/2020</v>
                </pt>
                <pt idx="7">
                  <v>6/11/2020</v>
                </pt>
                <pt idx="8">
                  <v>9/11/2020</v>
                </pt>
                <pt idx="9">
                  <v>10/11/2020</v>
                </pt>
                <pt idx="10">
                  <v>11/11/2020</v>
                </pt>
                <pt idx="11">
                  <v>12/11/2020</v>
                </pt>
                <pt idx="12">
                  <v>13/11/2020</v>
                </pt>
                <pt idx="13">
                  <v>16/11/2020</v>
                </pt>
                <pt idx="14">
                  <v>17/11/2020</v>
                </pt>
                <pt idx="15">
                  <v>18/11/2020</v>
                </pt>
                <pt idx="16">
                  <v>19/11/2020</v>
                </pt>
                <pt idx="17">
                  <v>20/11/2020</v>
                </pt>
                <pt idx="18">
                  <v>24/11/2020</v>
                </pt>
                <pt idx="19">
                  <v>25/11/2020</v>
                </pt>
                <pt idx="20">
                  <v>26/11/2020</v>
                </pt>
                <pt idx="21">
                  <v>27/11/2020</v>
                </pt>
                <pt idx="22">
                  <v>30/11/2020</v>
                </pt>
                <pt idx="23">
                  <v>1/12/2020</v>
                </pt>
                <pt idx="24">
                  <v>2/12/2020</v>
                </pt>
                <pt idx="25">
                  <v>3/12/2020</v>
                </pt>
                <pt idx="26">
                  <v>4/12/2020</v>
                </pt>
                <pt idx="27">
                  <v>9/12/2020</v>
                </pt>
                <pt idx="28">
                  <v>10/12/2020</v>
                </pt>
                <pt idx="29">
                  <v>11/12/2020</v>
                </pt>
                <pt idx="30">
                  <v>14/12/2020</v>
                </pt>
                <pt idx="31">
                  <v>15/12/2020</v>
                </pt>
                <pt idx="32">
                  <v>16/12/2020</v>
                </pt>
                <pt idx="33">
                  <v>17/12/2020</v>
                </pt>
                <pt idx="34">
                  <v>18/12/2020</v>
                </pt>
                <pt idx="35">
                  <v>21/12/2020</v>
                </pt>
                <pt idx="36">
                  <v>22/12/2020</v>
                </pt>
                <pt idx="37">
                  <v>23/12/2020</v>
                </pt>
                <pt idx="38">
                  <v>28/12/2020</v>
                </pt>
                <pt idx="39">
                  <v>29/12/2020</v>
                </pt>
                <pt idx="40">
                  <v>30/12/2020</v>
                </pt>
                <pt idx="41">
                  <v>4/1/2021</v>
                </pt>
                <pt idx="42">
                  <v>5/1/2021</v>
                </pt>
                <pt idx="43">
                  <v>6/1/2021</v>
                </pt>
                <pt idx="44">
                  <v>7/1/2021</v>
                </pt>
                <pt idx="45">
                  <v>8/1/2021</v>
                </pt>
                <pt idx="46">
                  <v>11/1/2021</v>
                </pt>
                <pt idx="47">
                  <v>12/1/2021</v>
                </pt>
                <pt idx="48">
                  <v>13/1/2021</v>
                </pt>
                <pt idx="49">
                  <v>14/1/2021</v>
                </pt>
                <pt idx="50">
                  <v>15/1/2021</v>
                </pt>
                <pt idx="51">
                  <v>18/1/2021</v>
                </pt>
                <pt idx="52">
                  <v>19/1/2021</v>
                </pt>
                <pt idx="53">
                  <v>20/1/2021</v>
                </pt>
                <pt idx="54">
                  <v>21/1/2021</v>
                </pt>
                <pt idx="55">
                  <v>22/1/2021</v>
                </pt>
                <pt idx="56">
                  <v>25/1/2021</v>
                </pt>
                <pt idx="57">
                  <v>26/1/2021</v>
                </pt>
                <pt idx="58">
                  <v>27/1/2021</v>
                </pt>
                <pt idx="59">
                  <v>28/1/2021</v>
                </pt>
                <pt idx="60">
                  <v>29/1/2021</v>
                </pt>
                <pt idx="61">
                  <v>1/2/2021</v>
                </pt>
                <pt idx="62">
                  <v>2/2/2021</v>
                </pt>
                <pt idx="63">
                  <v>3/2/2021</v>
                </pt>
                <pt idx="64">
                  <v>4/2/2021</v>
                </pt>
                <pt idx="65">
                  <v>5/2/2021</v>
                </pt>
                <pt idx="66">
                  <v>8/2/2021</v>
                </pt>
                <pt idx="67">
                  <v>9/2/2021</v>
                </pt>
                <pt idx="68">
                  <v>10/2/2021</v>
                </pt>
                <pt idx="69">
                  <v>11/2/2021</v>
                </pt>
                <pt idx="70">
                  <v>12/2/2021</v>
                </pt>
                <pt idx="71">
                  <v>17/2/2021</v>
                </pt>
                <pt idx="72">
                  <v>18/2/2021</v>
                </pt>
                <pt idx="73">
                  <v>19/2/2021</v>
                </pt>
                <pt idx="74">
                  <v>22/2/2021</v>
                </pt>
                <pt idx="75">
                  <v>23/2/2021</v>
                </pt>
                <pt idx="76">
                  <v>24/2/2021</v>
                </pt>
                <pt idx="77">
                  <v>25/2/2021</v>
                </pt>
                <pt idx="78">
                  <v>26/2/2021</v>
                </pt>
                <pt idx="79">
                  <v>1/3/2021</v>
                </pt>
                <pt idx="80">
                  <v>2/3/2021</v>
                </pt>
                <pt idx="81">
                  <v>3/3/2021</v>
                </pt>
                <pt idx="82">
                  <v>4/3/2021</v>
                </pt>
                <pt idx="83">
                  <v>5/3/2021</v>
                </pt>
                <pt idx="84">
                  <v>8/3/2021</v>
                </pt>
                <pt idx="85">
                  <v>9/3/2021</v>
                </pt>
                <pt idx="86">
                  <v>10/3/2021</v>
                </pt>
                <pt idx="87">
                  <v>11/3/2021</v>
                </pt>
                <pt idx="88">
                  <v>12/3/2021</v>
                </pt>
                <pt idx="89">
                  <v>15/3/2021</v>
                </pt>
                <pt idx="90">
                  <v>16/3/2021</v>
                </pt>
                <pt idx="91">
                  <v>17/3/2021</v>
                </pt>
                <pt idx="92">
                  <v>18/3/2021</v>
                </pt>
                <pt idx="93">
                  <v>19/3/2021</v>
                </pt>
                <pt idx="94">
                  <v>22/3/2021</v>
                </pt>
                <pt idx="95">
                  <v>23/3/2021</v>
                </pt>
                <pt idx="96">
                  <v>25/3/2021</v>
                </pt>
                <pt idx="97">
                  <v>26/3/2021</v>
                </pt>
                <pt idx="98">
                  <v>29/3/2021</v>
                </pt>
                <pt idx="99">
                  <v>30/3/2021</v>
                </pt>
                <pt idx="100">
                  <v>31/3/2021</v>
                </pt>
                <pt idx="101">
                  <v>5/4/2021</v>
                </pt>
                <pt idx="102">
                  <v>6/4/2021</v>
                </pt>
                <pt idx="103">
                  <v>7/4/2021</v>
                </pt>
                <pt idx="104">
                  <v>8/4/2021</v>
                </pt>
                <pt idx="105">
                  <v>9/4/2021</v>
                </pt>
                <pt idx="106">
                  <v>12/4/2021</v>
                </pt>
                <pt idx="107">
                  <v>13/4/2021</v>
                </pt>
                <pt idx="108">
                  <v>14/4/2021</v>
                </pt>
                <pt idx="109">
                  <v>15/4/2021</v>
                </pt>
                <pt idx="110">
                  <v>16/4/2021</v>
                </pt>
                <pt idx="111">
                  <v>19/4/2021</v>
                </pt>
                <pt idx="112">
                  <v>20/4/2021</v>
                </pt>
                <pt idx="113">
                  <v>21/4/2021</v>
                </pt>
                <pt idx="114">
                  <v>22/4/2021</v>
                </pt>
                <pt idx="115">
                  <v>23/4/2021</v>
                </pt>
                <pt idx="116">
                  <v>26/4/2021</v>
                </pt>
                <pt idx="117">
                  <v>27/4/2021</v>
                </pt>
                <pt idx="118">
                  <v>28/4/2021</v>
                </pt>
                <pt idx="119">
                  <v>29/4/2021</v>
                </pt>
                <pt idx="120">
                  <v>30/4/2021</v>
                </pt>
                <pt idx="121">
                  <v>3/5/2021</v>
                </pt>
                <pt idx="122">
                  <v>4/5/2021</v>
                </pt>
                <pt idx="123">
                  <v>5/5/2021</v>
                </pt>
                <pt idx="124">
                  <v>6/5/2021</v>
                </pt>
                <pt idx="125">
                  <v>7/5/2021</v>
                </pt>
                <pt idx="126">
                  <v>10/5/2021</v>
                </pt>
                <pt idx="127">
                  <v>11/5/2021</v>
                </pt>
                <pt idx="128">
                  <v>12/5/2021</v>
                </pt>
                <pt idx="129">
                  <v>13/5/2021</v>
                </pt>
                <pt idx="130">
                  <v>14/5/2021</v>
                </pt>
                <pt idx="131">
                  <v>17/5/2021</v>
                </pt>
                <pt idx="132">
                  <v>18/5/2021</v>
                </pt>
                <pt idx="133">
                  <v>19/5/2021</v>
                </pt>
                <pt idx="134">
                  <v>20/5/2021</v>
                </pt>
                <pt idx="135">
                  <v>21/5/2021</v>
                </pt>
                <pt idx="136">
                  <v>26/5/2021</v>
                </pt>
                <pt idx="137">
                  <v>27/5/2021</v>
                </pt>
                <pt idx="138">
                  <v>28/5/2021</v>
                </pt>
                <pt idx="139">
                  <v>31/5/2021</v>
                </pt>
                <pt idx="140">
                  <v>1/6/2021</v>
                </pt>
                <pt idx="141">
                  <v>2/6/2021</v>
                </pt>
                <pt idx="142">
                  <v>3/6/2021</v>
                </pt>
                <pt idx="143">
                  <v>4/6/2021</v>
                </pt>
                <pt idx="144">
                  <v>7/6/2021</v>
                </pt>
                <pt idx="145">
                  <v>8/6/2021</v>
                </pt>
                <pt idx="146">
                  <v>9/6/2021</v>
                </pt>
                <pt idx="147">
                  <v>10/6/2021</v>
                </pt>
                <pt idx="148">
                  <v>11/6/2021</v>
                </pt>
                <pt idx="149">
                  <v>14/6/2021</v>
                </pt>
                <pt idx="150">
                  <v>15/6/2021</v>
                </pt>
                <pt idx="151">
                  <v>16/6/2021</v>
                </pt>
                <pt idx="152">
                  <v>17/6/2021</v>
                </pt>
                <pt idx="153">
                  <v>18/6/2021</v>
                </pt>
                <pt idx="154">
                  <v>22/6/2021</v>
                </pt>
                <pt idx="155">
                  <v>23/6/2021</v>
                </pt>
                <pt idx="156">
                  <v>24/6/2021</v>
                </pt>
                <pt idx="157">
                  <v>25/6/2021</v>
                </pt>
                <pt idx="158">
                  <v>28/6/2021</v>
                </pt>
                <pt idx="159">
                  <v>29/6/2021</v>
                </pt>
                <pt idx="160">
                  <v>30/6/2021</v>
                </pt>
                <pt idx="161">
                  <v>1/7/2021</v>
                </pt>
                <pt idx="162">
                  <v>2/7/2021</v>
                </pt>
                <pt idx="163">
                  <v>5/7/2021</v>
                </pt>
                <pt idx="164">
                  <v>6/7/2021</v>
                </pt>
                <pt idx="165">
                  <v>7/7/2021</v>
                </pt>
                <pt idx="166">
                  <v>8/7/2021</v>
                </pt>
                <pt idx="167">
                  <v>12/7/2021</v>
                </pt>
                <pt idx="168">
                  <v>13/7/2021</v>
                </pt>
                <pt idx="169">
                  <v>14/7/2021</v>
                </pt>
                <pt idx="170">
                  <v>15/7/2021</v>
                </pt>
                <pt idx="171">
                  <v>16/7/2021</v>
                </pt>
                <pt idx="172">
                  <v>19/7/2021</v>
                </pt>
                <pt idx="173">
                  <v>20/7/2021</v>
                </pt>
                <pt idx="174">
                  <v>21/7/2021</v>
                </pt>
                <pt idx="175">
                  <v>22/7/2021</v>
                </pt>
                <pt idx="176">
                  <v>23/7/2021</v>
                </pt>
                <pt idx="177">
                  <v>26/7/2021</v>
                </pt>
                <pt idx="178">
                  <v>27/7/2021</v>
                </pt>
                <pt idx="179">
                  <v>28/7/2021</v>
                </pt>
                <pt idx="180">
                  <v>29/7/2021</v>
                </pt>
                <pt idx="181">
                  <v>30/7/2021</v>
                </pt>
                <pt idx="182">
                  <v>1/8/2021</v>
                </pt>
                <pt idx="183">
                  <v>2/8/2021</v>
                </pt>
                <pt idx="184">
                  <v>3/8/2021</v>
                </pt>
                <pt idx="185">
                  <v>4/8/2021</v>
                </pt>
                <pt idx="186">
                  <v>5/8/2021</v>
                </pt>
                <pt idx="187">
                  <v>9/8/2021</v>
                </pt>
                <pt idx="188">
                  <v>10/8/2021</v>
                </pt>
                <pt idx="189">
                  <v>11/8/2021</v>
                </pt>
                <pt idx="190">
                  <v>12/8/2021</v>
                </pt>
                <pt idx="191">
                  <v>13/8/2021</v>
                </pt>
                <pt idx="192">
                  <v>17/8/2021</v>
                </pt>
                <pt idx="193">
                  <v>18/8/2021</v>
                </pt>
                <pt idx="194">
                  <v>19/8/2021</v>
                </pt>
                <pt idx="195">
                  <v>20/8/2021</v>
                </pt>
                <pt idx="196">
                  <v>23/8/2021</v>
                </pt>
                <pt idx="197">
                  <v>24/8/2021</v>
                </pt>
                <pt idx="198">
                  <v>25/8/2021</v>
                </pt>
                <pt idx="199">
                  <v>26/8/2021</v>
                </pt>
                <pt idx="200">
                  <v>27/8/2021</v>
                </pt>
                <pt idx="201">
                  <v>30/8/2021</v>
                </pt>
                <pt idx="202">
                  <v>31/8/2021</v>
                </pt>
                <pt idx="203">
                  <v>1/9/2021</v>
                </pt>
                <pt idx="204">
                  <v>2/9/2021</v>
                </pt>
                <pt idx="205">
                  <v>3/9/2021</v>
                </pt>
                <pt idx="206">
                  <v>6/9/2021</v>
                </pt>
                <pt idx="207">
                  <v>7/9/2021</v>
                </pt>
                <pt idx="208">
                  <v>8/9/2021</v>
                </pt>
                <pt idx="209">
                  <v>9/9/2021</v>
                </pt>
                <pt idx="210">
                  <v>10/9/2021</v>
                </pt>
                <pt idx="211">
                  <v>13/9/2021</v>
                </pt>
                <pt idx="212">
                  <v>14/9/2021</v>
                </pt>
                <pt idx="213">
                  <v>15/9/2021</v>
                </pt>
                <pt idx="214">
                  <v>16/9/2021</v>
                </pt>
                <pt idx="215">
                  <v>17/9/2021</v>
                </pt>
                <pt idx="216">
                  <v>20/9/2021</v>
                </pt>
                <pt idx="217">
                  <v>21/9/2021</v>
                </pt>
                <pt idx="218">
                  <v>22/9/2021</v>
                </pt>
                <pt idx="219">
                  <v>23/9/2021</v>
                </pt>
                <pt idx="220">
                  <v>24/9/2021</v>
                </pt>
                <pt idx="221">
                  <v>27/9/2021</v>
                </pt>
                <pt idx="222">
                  <v>28/9/2021</v>
                </pt>
                <pt idx="223">
                  <v>29/9/2021</v>
                </pt>
                <pt idx="224">
                  <v>30/9/2021</v>
                </pt>
                <pt idx="225">
                  <v>1/10/2021</v>
                </pt>
                <pt idx="226">
                  <v>4/10/2021</v>
                </pt>
                <pt idx="227">
                  <v>5/10/2021</v>
                </pt>
                <pt idx="228">
                  <v>6/10/2021</v>
                </pt>
                <pt idx="229">
                  <v>7/10/2021</v>
                </pt>
                <pt idx="230">
                  <v>12/10/2021</v>
                </pt>
                <pt idx="231">
                  <v>13/10/2021</v>
                </pt>
                <pt idx="232">
                  <v>14/10/2021</v>
                </pt>
                <pt idx="233">
                  <v>15/10/2021</v>
                </pt>
                <pt idx="234">
                  <v>18/10/2021</v>
                </pt>
              </strCache>
            </strRef>
          </cat>
          <val>
            <numRef>
              <f>'Grafico Paridades'!$G$3:$G$238</f>
              <numCache>
                <formatCode>0.00%</formatCode>
                <ptCount val="235"/>
                <pt idx="0">
                  <v>0.40492234366012</v>
                </pt>
                <pt idx="1">
                  <v>0.3957227527503193</v>
                </pt>
                <pt idx="2">
                  <v>0.3984208616096803</v>
                </pt>
                <pt idx="3">
                  <v>0.4046154741646437</v>
                </pt>
                <pt idx="4">
                  <v>0.411412645260253</v>
                </pt>
                <pt idx="5">
                  <v>0.4091117327425932</v>
                </pt>
                <pt idx="6">
                  <v>0.4064109236331763</v>
                </pt>
                <pt idx="7">
                  <v>0.4049098659544964</v>
                </pt>
                <pt idx="8">
                  <v>0.4163030527137516</v>
                </pt>
                <pt idx="9">
                  <v>0.4149019580989424</v>
                </pt>
                <pt idx="10">
                  <v>0.4188995788680795</v>
                </pt>
                <pt idx="11">
                  <v>0.4223972938086972</v>
                </pt>
                <pt idx="12">
                  <v>0.424895231312827</v>
                </pt>
                <pt idx="13">
                  <v>0.4282899940083883</v>
                </pt>
                <pt idx="14">
                  <v>0.4167915200153384</v>
                </pt>
                <pt idx="15">
                  <v>0.4139908311849272</v>
                </pt>
                <pt idx="16">
                  <v>0.4088907757516828</v>
                </pt>
                <pt idx="17">
                  <v>0.4083895110569401</v>
                </pt>
                <pt idx="18">
                  <v>0.4118829236894992</v>
                </pt>
                <pt idx="19">
                  <v>0.4158803631831939</v>
                </pt>
                <pt idx="20">
                  <v>0.4118801033945598</v>
                </pt>
                <pt idx="21">
                  <v>0.4147778394034634</v>
                </pt>
                <pt idx="22">
                  <v>0.406875986428794</v>
                </pt>
                <pt idx="23">
                  <v>0.4066746550720668</v>
                </pt>
                <pt idx="24">
                  <v>0.405973480867264</v>
                </pt>
                <pt idx="25">
                  <v>0.404872437451214</v>
                </pt>
                <pt idx="26">
                  <v>0.3992728343370091</v>
                </pt>
                <pt idx="27">
                  <v>0.3998657984648988</v>
                </pt>
                <pt idx="28">
                  <v>0.4058623959684902</v>
                </pt>
                <pt idx="29">
                  <v>0.4077603560424512</v>
                </pt>
                <pt idx="30">
                  <v>0.4148536646319962</v>
                </pt>
                <pt idx="31">
                  <v>0.4064552351217374</v>
                </pt>
                <pt idx="32">
                  <v>0.4078533404084148</v>
                </pt>
                <pt idx="33">
                  <v>0.4099511821051262</v>
                </pt>
                <pt idx="34">
                  <v>0.4138483500908913</v>
                </pt>
                <pt idx="35">
                  <v>0.4113450412515833</v>
                </pt>
                <pt idx="36">
                  <v>0.412343253078453</v>
                </pt>
                <pt idx="37">
                  <v>0.4128416497781672</v>
                </pt>
                <pt idx="38">
                  <v>0.4187322203089858</v>
                </pt>
                <pt idx="39">
                  <v>0.4117336144982507</v>
                </pt>
                <pt idx="40">
                  <v>0.4157305755531137</v>
                </pt>
                <pt idx="41">
                  <v>0.404828086702907</v>
                </pt>
                <pt idx="42">
                  <v>0.4025276850663244</v>
                </pt>
                <pt idx="43">
                  <v>0.409323374160465</v>
                </pt>
                <pt idx="44">
                  <v>0.4058234945759892</v>
                </pt>
                <pt idx="45">
                  <v>0.4044227188081937</v>
                </pt>
                <pt idx="46">
                  <v>0.4025194176585162</v>
                </pt>
                <pt idx="47">
                  <v>0.4033176783098052</v>
                </pt>
                <pt idx="48">
                  <v>0.3934208049073538</v>
                </pt>
                <pt idx="49">
                  <v>0.3898211094908501</v>
                </pt>
                <pt idx="50">
                  <v>0.3907193592003697</v>
                </pt>
                <pt idx="51">
                  <v>0.3966125598176204</v>
                </pt>
                <pt idx="52">
                  <v>0.3993099175392536</v>
                </pt>
                <pt idx="53">
                  <v>0.4010077360169781</v>
                </pt>
                <pt idx="54">
                  <v>0.3988074251816759</v>
                </pt>
                <pt idx="55">
                  <v>0.4048031436767052</v>
                </pt>
                <pt idx="56">
                  <v>0.4037994831333755</v>
                </pt>
                <pt idx="57">
                  <v>0.4037981009495252</v>
                </pt>
                <pt idx="58">
                  <v>0.4027972219464858</v>
                </pt>
                <pt idx="59">
                  <v>0.4001971603433876</v>
                </pt>
                <pt idx="60">
                  <v>0.4001957905041605</v>
                </pt>
                <pt idx="61">
                  <v>0.4037898080451272</v>
                </pt>
                <pt idx="62">
                  <v>0.399190834939227</v>
                </pt>
                <pt idx="63">
                  <v>0.3958912080615018</v>
                </pt>
                <pt idx="64">
                  <v>0.3969892693946706</v>
                </pt>
                <pt idx="65">
                  <v>0.3995865222689248</v>
                </pt>
                <pt idx="66">
                  <v>0.3995824191621685</v>
                </pt>
                <pt idx="67">
                  <v>0.3986815443592552</v>
                </pt>
                <pt idx="68">
                  <v>0.3963814472157475</v>
                </pt>
                <pt idx="69">
                  <v>0.395580534087253</v>
                </pt>
                <pt idx="70">
                  <v>0.3977779527181744</v>
                </pt>
                <pt idx="71">
                  <v>0.3920744229347498</v>
                </pt>
                <pt idx="72">
                  <v>0.3902741221690186</v>
                </pt>
                <pt idx="73">
                  <v>0.3857754047301229</v>
                </pt>
                <pt idx="74">
                  <v>0.3839725094379015</v>
                </pt>
                <pt idx="75">
                  <v>0.3776749471205514</v>
                </pt>
                <pt idx="76">
                  <v>0.3808717378283563</v>
                </pt>
                <pt idx="77">
                  <v>0.3798710366354526</v>
                </pt>
                <pt idx="78">
                  <v>0.376072038524593</v>
                </pt>
                <pt idx="79">
                  <v>0.3776671914573208</v>
                </pt>
                <pt idx="80">
                  <v>0.3693710405536295</v>
                </pt>
                <pt idx="81">
                  <v>0.3697695272124908</v>
                </pt>
                <pt idx="82">
                  <v>0.3695683869355849</v>
                </pt>
                <pt idx="83">
                  <v>0.3605727897489253</v>
                </pt>
                <pt idx="84">
                  <v>0.3605690876048558</v>
                </pt>
                <pt idx="85">
                  <v>0.3523731296288691</v>
                </pt>
                <pt idx="86">
                  <v>0.3436775511740688</v>
                </pt>
                <pt idx="87">
                  <v>0.3462746842807762</v>
                </pt>
                <pt idx="88">
                  <v>0.3528691848824912</v>
                </pt>
                <pt idx="89">
                  <v>0.3592613126895146</v>
                </pt>
                <pt idx="90">
                  <v>0.3627577473947193</v>
                </pt>
                <pt idx="91">
                  <v>0.3685526153677668</v>
                </pt>
                <pt idx="92">
                  <v>0.3658531743994634</v>
                </pt>
                <pt idx="93">
                  <v>0.3692496184094347</v>
                </pt>
                <pt idx="94">
                  <v>0.3752417000626281</v>
                </pt>
                <pt idx="95">
                  <v>0.3705436649988706</v>
                </pt>
                <pt idx="96">
                  <v>0.3627465743110977</v>
                </pt>
                <pt idx="97">
                  <v>0.3618459643058812</v>
                </pt>
                <pt idx="98">
                  <v>0.3562462355582325</v>
                </pt>
                <pt idx="99">
                  <v>0.3506490217618212</v>
                </pt>
                <pt idx="100">
                  <v>0.3498483967010027</v>
                </pt>
                <pt idx="101">
                  <v>0.3532399089711343</v>
                </pt>
                <pt idx="102">
                  <v>0.3537383305500041</v>
                </pt>
                <pt idx="103">
                  <v>0.352637936875678</v>
                </pt>
                <pt idx="104">
                  <v>0.3535360586959052</v>
                </pt>
                <pt idx="105">
                  <v>0.3512365725705721</v>
                </pt>
                <pt idx="106">
                  <v>0.3589271170548419</v>
                </pt>
                <pt idx="107">
                  <v>0.3636223021459639</v>
                </pt>
                <pt idx="108">
                  <v>0.3607232807709155</v>
                </pt>
                <pt idx="109">
                  <v>0.3595229703139703</v>
                </pt>
                <pt idx="110">
                  <v>0.3637184918521966</v>
                </pt>
                <pt idx="111">
                  <v>0.3646140526778657</v>
                </pt>
                <pt idx="112">
                  <v>0.3617150874311331</v>
                </pt>
                <pt idx="113">
                  <v>0.3660104506366539</v>
                </pt>
                <pt idx="114">
                  <v>0.3667086424484656</v>
                </pt>
                <pt idx="115">
                  <v>0.3663077065218507</v>
                </pt>
                <pt idx="116">
                  <v>0.368202411749408</v>
                </pt>
                <pt idx="117">
                  <v>0.3710987999466187</v>
                </pt>
                <pt idx="118">
                  <v>0.3692989960237889</v>
                </pt>
                <pt idx="119">
                  <v>0.3671994497654317</v>
                </pt>
                <pt idx="120">
                  <v>0.3717944155488639</v>
                </pt>
                <pt idx="121">
                  <v>0.3703917630191313</v>
                </pt>
                <pt idx="122">
                  <v>0.3701906625970079</v>
                </pt>
                <pt idx="123">
                  <v>0.3678913240602919</v>
                </pt>
                <pt idx="124">
                  <v>0.3649925063131745</v>
                </pt>
                <pt idx="125">
                  <v>0.3628930322638043</v>
                </pt>
                <pt idx="126">
                  <v>0.3644879384088965</v>
                </pt>
                <pt idx="127">
                  <v>0.3586916725691272</v>
                </pt>
                <pt idx="128">
                  <v>0.3636861338844559</v>
                </pt>
                <pt idx="129">
                  <v>0.3641844566180673</v>
                </pt>
                <pt idx="130">
                  <v>0.3741745194248839</v>
                </pt>
                <pt idx="131">
                  <v>0.3834625004704764</v>
                </pt>
                <pt idx="132">
                  <v>0.3834611884020284</v>
                </pt>
                <pt idx="133">
                  <v>0.3786641301037778</v>
                </pt>
                <pt idx="134">
                  <v>0.3795620338055157</v>
                </pt>
                <pt idx="135">
                  <v>0.3746651109795696</v>
                </pt>
                <pt idx="136">
                  <v>0.3871473246973647</v>
                </pt>
                <pt idx="137">
                  <v>0.3867463654808788</v>
                </pt>
                <pt idx="138">
                  <v>0.3851465093681142</v>
                </pt>
                <pt idx="139">
                  <v>0.3854422778859346</v>
                </pt>
                <pt idx="140">
                  <v>0.3876389116986916</v>
                </pt>
                <pt idx="141">
                  <v>0.3947309535947556</v>
                </pt>
                <pt idx="142">
                  <v>0.3882356966408234</v>
                </pt>
                <pt idx="143">
                  <v>0.3908319219912753</v>
                </pt>
                <pt idx="144">
                  <v>0.3949240107021398</v>
                </pt>
                <pt idx="145">
                  <v>0.3992185548739389</v>
                </pt>
                <pt idx="146">
                  <v>0.4043123032708362</v>
                </pt>
                <pt idx="147">
                  <v>0.4042110161112081</v>
                </pt>
                <pt idx="148">
                  <v>0.405608282412191</v>
                </pt>
                <pt idx="149">
                  <v>0.4058039242520143</v>
                </pt>
                <pt idx="150">
                  <v>0.4029053735040337</v>
                </pt>
                <pt idx="151">
                  <v>0.4004064498250007</v>
                </pt>
                <pt idx="152">
                  <v>0.3964090212393256</v>
                </pt>
                <pt idx="153">
                  <v>0.3967073683922419</v>
                </pt>
                <pt idx="154">
                  <v>0.3871115627127574</v>
                </pt>
                <pt idx="155">
                  <v>0.3888085283994882</v>
                </pt>
                <pt idx="156">
                  <v>0.3841119417027319</v>
                </pt>
                <pt idx="157">
                  <v>0.3747201467006048</v>
                </pt>
                <pt idx="158">
                  <v>0.3749160961891762</v>
                </pt>
                <pt idx="159">
                  <v>0.373616147793363</v>
                </pt>
                <pt idx="160">
                  <v>0.375512913058799</v>
                </pt>
                <pt idx="161">
                  <v>0.3750121449733494</v>
                </pt>
                <pt idx="162">
                  <v>0.371814179122349</v>
                </pt>
                <pt idx="163">
                  <v>0.3741079553618469</v>
                </pt>
                <pt idx="164">
                  <v>0.3698111916580855</v>
                </pt>
                <pt idx="165">
                  <v>0.3697100318841769</v>
                </pt>
                <pt idx="166">
                  <v>0.3681104584532122</v>
                </pt>
                <pt idx="167">
                  <v>0.37060274431859</v>
                </pt>
                <pt idx="168">
                  <v>0.3736981465136804</v>
                </pt>
                <pt idx="169">
                  <v>0.3765937430511606</v>
                </pt>
                <pt idx="170">
                  <v>0.3750940762736217</v>
                </pt>
                <pt idx="171">
                  <v>0.3774901904439358</v>
                </pt>
                <pt idx="172">
                  <v>0.379883689107827</v>
                </pt>
                <pt idx="173">
                  <v>0.3818801933490922</v>
                </pt>
                <pt idx="174">
                  <v>0.3834771245407462</v>
                </pt>
                <pt idx="175">
                  <v>0.3853737133239601</v>
                </pt>
                <pt idx="176">
                  <v>0.3890682940846458</v>
                </pt>
                <pt idx="177">
                  <v>0.3855682164151789</v>
                </pt>
                <pt idx="178">
                  <v>0.3857666730521879</v>
                </pt>
                <pt idx="179">
                  <v>0.3864645656092964</v>
                </pt>
                <pt idx="180">
                  <v>0.3863633564806896</v>
                </pt>
                <pt idx="181">
                  <v>0.387760449627306</v>
                </pt>
                <pt idx="182">
                  <v>0.3895557463577495</v>
                </pt>
                <pt idx="183">
                  <v>0.3891548707984703</v>
                </pt>
                <pt idx="184">
                  <v>0.3874554877110165</v>
                </pt>
                <pt idx="185">
                  <v>0.3865551967598927</v>
                </pt>
                <pt idx="186">
                  <v>0.3835573328042636</v>
                </pt>
                <pt idx="187">
                  <v>0.3828529012352013</v>
                </pt>
                <pt idx="188">
                  <v>0.3864473801232802</v>
                </pt>
                <pt idx="189">
                  <v>0.3865459408981916</v>
                </pt>
                <pt idx="190">
                  <v>0.3909394412062502</v>
                </pt>
                <pt idx="191">
                  <v>0.387542116335152</v>
                </pt>
                <pt idx="192">
                  <v>0.3835415889912399</v>
                </pt>
                <pt idx="193">
                  <v>0.3820420728578758</v>
                </pt>
                <pt idx="194">
                  <v>0.3786448481448669</v>
                </pt>
                <pt idx="195">
                  <v>0.3794425897548162</v>
                </pt>
                <pt idx="196">
                  <v>0.3870294675993227</v>
                </pt>
                <pt idx="197">
                  <v>0.3954179151445498</v>
                </pt>
                <pt idx="198">
                  <v>0.3944177837370065</v>
                </pt>
                <pt idx="199">
                  <v>0.3925187612447752</v>
                </pt>
                <pt idx="200">
                  <v>0.3955137348260187</v>
                </pt>
                <pt idx="201">
                  <v>0.4015022472140702</v>
                </pt>
                <pt idx="202">
                  <v>0.4026993839849776</v>
                </pt>
                <pt idx="203">
                  <v>0.4062935245105416</v>
                </pt>
                <pt idx="204">
                  <v>0.4089887640449438</v>
                </pt>
                <pt idx="205">
                  <v>0.408687740708564</v>
                </pt>
                <pt idx="206">
                  <v>0.4133776152738491</v>
                </pt>
                <pt idx="207">
                  <v>0.4116783527721722</v>
                </pt>
                <pt idx="208">
                  <v>0.4029879844444216</v>
                </pt>
                <pt idx="209">
                  <v>0.4004897869837057</v>
                </pt>
                <pt idx="210">
                  <v>0.3944960717986955</v>
                </pt>
                <pt idx="211">
                  <v>0.4151654034530878</v>
                </pt>
                <pt idx="212">
                  <v>0.4104700438132959</v>
                </pt>
                <pt idx="213">
                  <v>0.4135646320858614</v>
                </pt>
                <pt idx="214">
                  <v>0.4123647731198205</v>
                </pt>
                <pt idx="215">
                  <v>0.4079690813325125</v>
                </pt>
                <pt idx="216">
                  <v>0.3998755057578587</v>
                </pt>
                <pt idx="217">
                  <v>0.3958793914851702</v>
                </pt>
                <pt idx="218">
                  <v>0.3934811977358619</v>
                </pt>
                <pt idx="219">
                  <v>0.3904838124944423</v>
                </pt>
                <pt idx="220">
                  <v>0.3854890949324012</v>
                </pt>
                <pt idx="221">
                  <v>0.390478470535928</v>
                </pt>
                <pt idx="222">
                  <v>0.3949711174420553</v>
                </pt>
                <pt idx="223">
                  <v>0.4009617226189499</v>
                </pt>
                <pt idx="224">
                  <v>0.3994623674301369</v>
                </pt>
                <pt idx="225">
                  <v>0.3993611360014228</v>
                </pt>
                <pt idx="226">
                  <v>0.3968604329045784</v>
                </pt>
                <pt idx="227">
                  <v>0.3994555366315775</v>
                </pt>
                <pt idx="228">
                  <v>0.3944609933686504</v>
                </pt>
                <pt idx="229">
                  <v>0.3909644322845417</v>
                </pt>
                <pt idx="230">
                  <v>0.3868634257280142</v>
                </pt>
                <pt idx="231">
                  <v>0.3805708501193546</v>
                </pt>
                <pt idx="232">
                  <v>0.3814682959026289</v>
                </pt>
                <pt idx="233">
                  <v>0.3769732702251649</v>
                </pt>
                <pt idx="234">
                  <v>0.3734743221014257</v>
                </pt>
              </numCache>
            </numRef>
          </val>
          <smooth val="0"/>
        </ser>
        <ser>
          <idx val="6"/>
          <order val="6"/>
          <tx>
            <strRef>
              <f>'Grafico Paridades'!$H$1:$H$2</f>
              <strCache>
                <ptCount val="1"/>
                <pt idx="0">
                  <v>Suma de P35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'Grafico Paridades'!$A$3:$A$238</f>
              <strCache>
                <ptCount val="235"/>
                <pt idx="0">
                  <v>28/10/2020</v>
                </pt>
                <pt idx="1">
                  <v>29/10/2020</v>
                </pt>
                <pt idx="2">
                  <v>30/10/2020</v>
                </pt>
                <pt idx="3">
                  <v>2/11/2020</v>
                </pt>
                <pt idx="4">
                  <v>3/11/2020</v>
                </pt>
                <pt idx="5">
                  <v>4/11/2020</v>
                </pt>
                <pt idx="6">
                  <v>5/11/2020</v>
                </pt>
                <pt idx="7">
                  <v>6/11/2020</v>
                </pt>
                <pt idx="8">
                  <v>9/11/2020</v>
                </pt>
                <pt idx="9">
                  <v>10/11/2020</v>
                </pt>
                <pt idx="10">
                  <v>11/11/2020</v>
                </pt>
                <pt idx="11">
                  <v>12/11/2020</v>
                </pt>
                <pt idx="12">
                  <v>13/11/2020</v>
                </pt>
                <pt idx="13">
                  <v>16/11/2020</v>
                </pt>
                <pt idx="14">
                  <v>17/11/2020</v>
                </pt>
                <pt idx="15">
                  <v>18/11/2020</v>
                </pt>
                <pt idx="16">
                  <v>19/11/2020</v>
                </pt>
                <pt idx="17">
                  <v>20/11/2020</v>
                </pt>
                <pt idx="18">
                  <v>24/11/2020</v>
                </pt>
                <pt idx="19">
                  <v>25/11/2020</v>
                </pt>
                <pt idx="20">
                  <v>26/11/2020</v>
                </pt>
                <pt idx="21">
                  <v>27/11/2020</v>
                </pt>
                <pt idx="22">
                  <v>30/11/2020</v>
                </pt>
                <pt idx="23">
                  <v>1/12/2020</v>
                </pt>
                <pt idx="24">
                  <v>2/12/2020</v>
                </pt>
                <pt idx="25">
                  <v>3/12/2020</v>
                </pt>
                <pt idx="26">
                  <v>4/12/2020</v>
                </pt>
                <pt idx="27">
                  <v>9/12/2020</v>
                </pt>
                <pt idx="28">
                  <v>10/12/2020</v>
                </pt>
                <pt idx="29">
                  <v>11/12/2020</v>
                </pt>
                <pt idx="30">
                  <v>14/12/2020</v>
                </pt>
                <pt idx="31">
                  <v>15/12/2020</v>
                </pt>
                <pt idx="32">
                  <v>16/12/2020</v>
                </pt>
                <pt idx="33">
                  <v>17/12/2020</v>
                </pt>
                <pt idx="34">
                  <v>18/12/2020</v>
                </pt>
                <pt idx="35">
                  <v>21/12/2020</v>
                </pt>
                <pt idx="36">
                  <v>22/12/2020</v>
                </pt>
                <pt idx="37">
                  <v>23/12/2020</v>
                </pt>
                <pt idx="38">
                  <v>28/12/2020</v>
                </pt>
                <pt idx="39">
                  <v>29/12/2020</v>
                </pt>
                <pt idx="40">
                  <v>30/12/2020</v>
                </pt>
                <pt idx="41">
                  <v>4/1/2021</v>
                </pt>
                <pt idx="42">
                  <v>5/1/2021</v>
                </pt>
                <pt idx="43">
                  <v>6/1/2021</v>
                </pt>
                <pt idx="44">
                  <v>7/1/2021</v>
                </pt>
                <pt idx="45">
                  <v>8/1/2021</v>
                </pt>
                <pt idx="46">
                  <v>11/1/2021</v>
                </pt>
                <pt idx="47">
                  <v>12/1/2021</v>
                </pt>
                <pt idx="48">
                  <v>13/1/2021</v>
                </pt>
                <pt idx="49">
                  <v>14/1/2021</v>
                </pt>
                <pt idx="50">
                  <v>15/1/2021</v>
                </pt>
                <pt idx="51">
                  <v>18/1/2021</v>
                </pt>
                <pt idx="52">
                  <v>19/1/2021</v>
                </pt>
                <pt idx="53">
                  <v>20/1/2021</v>
                </pt>
                <pt idx="54">
                  <v>21/1/2021</v>
                </pt>
                <pt idx="55">
                  <v>22/1/2021</v>
                </pt>
                <pt idx="56">
                  <v>25/1/2021</v>
                </pt>
                <pt idx="57">
                  <v>26/1/2021</v>
                </pt>
                <pt idx="58">
                  <v>27/1/2021</v>
                </pt>
                <pt idx="59">
                  <v>28/1/2021</v>
                </pt>
                <pt idx="60">
                  <v>29/1/2021</v>
                </pt>
                <pt idx="61">
                  <v>1/2/2021</v>
                </pt>
                <pt idx="62">
                  <v>2/2/2021</v>
                </pt>
                <pt idx="63">
                  <v>3/2/2021</v>
                </pt>
                <pt idx="64">
                  <v>4/2/2021</v>
                </pt>
                <pt idx="65">
                  <v>5/2/2021</v>
                </pt>
                <pt idx="66">
                  <v>8/2/2021</v>
                </pt>
                <pt idx="67">
                  <v>9/2/2021</v>
                </pt>
                <pt idx="68">
                  <v>10/2/2021</v>
                </pt>
                <pt idx="69">
                  <v>11/2/2021</v>
                </pt>
                <pt idx="70">
                  <v>12/2/2021</v>
                </pt>
                <pt idx="71">
                  <v>17/2/2021</v>
                </pt>
                <pt idx="72">
                  <v>18/2/2021</v>
                </pt>
                <pt idx="73">
                  <v>19/2/2021</v>
                </pt>
                <pt idx="74">
                  <v>22/2/2021</v>
                </pt>
                <pt idx="75">
                  <v>23/2/2021</v>
                </pt>
                <pt idx="76">
                  <v>24/2/2021</v>
                </pt>
                <pt idx="77">
                  <v>25/2/2021</v>
                </pt>
                <pt idx="78">
                  <v>26/2/2021</v>
                </pt>
                <pt idx="79">
                  <v>1/3/2021</v>
                </pt>
                <pt idx="80">
                  <v>2/3/2021</v>
                </pt>
                <pt idx="81">
                  <v>3/3/2021</v>
                </pt>
                <pt idx="82">
                  <v>4/3/2021</v>
                </pt>
                <pt idx="83">
                  <v>5/3/2021</v>
                </pt>
                <pt idx="84">
                  <v>8/3/2021</v>
                </pt>
                <pt idx="85">
                  <v>9/3/2021</v>
                </pt>
                <pt idx="86">
                  <v>10/3/2021</v>
                </pt>
                <pt idx="87">
                  <v>11/3/2021</v>
                </pt>
                <pt idx="88">
                  <v>12/3/2021</v>
                </pt>
                <pt idx="89">
                  <v>15/3/2021</v>
                </pt>
                <pt idx="90">
                  <v>16/3/2021</v>
                </pt>
                <pt idx="91">
                  <v>17/3/2021</v>
                </pt>
                <pt idx="92">
                  <v>18/3/2021</v>
                </pt>
                <pt idx="93">
                  <v>19/3/2021</v>
                </pt>
                <pt idx="94">
                  <v>22/3/2021</v>
                </pt>
                <pt idx="95">
                  <v>23/3/2021</v>
                </pt>
                <pt idx="96">
                  <v>25/3/2021</v>
                </pt>
                <pt idx="97">
                  <v>26/3/2021</v>
                </pt>
                <pt idx="98">
                  <v>29/3/2021</v>
                </pt>
                <pt idx="99">
                  <v>30/3/2021</v>
                </pt>
                <pt idx="100">
                  <v>31/3/2021</v>
                </pt>
                <pt idx="101">
                  <v>5/4/2021</v>
                </pt>
                <pt idx="102">
                  <v>6/4/2021</v>
                </pt>
                <pt idx="103">
                  <v>7/4/2021</v>
                </pt>
                <pt idx="104">
                  <v>8/4/2021</v>
                </pt>
                <pt idx="105">
                  <v>9/4/2021</v>
                </pt>
                <pt idx="106">
                  <v>12/4/2021</v>
                </pt>
                <pt idx="107">
                  <v>13/4/2021</v>
                </pt>
                <pt idx="108">
                  <v>14/4/2021</v>
                </pt>
                <pt idx="109">
                  <v>15/4/2021</v>
                </pt>
                <pt idx="110">
                  <v>16/4/2021</v>
                </pt>
                <pt idx="111">
                  <v>19/4/2021</v>
                </pt>
                <pt idx="112">
                  <v>20/4/2021</v>
                </pt>
                <pt idx="113">
                  <v>21/4/2021</v>
                </pt>
                <pt idx="114">
                  <v>22/4/2021</v>
                </pt>
                <pt idx="115">
                  <v>23/4/2021</v>
                </pt>
                <pt idx="116">
                  <v>26/4/2021</v>
                </pt>
                <pt idx="117">
                  <v>27/4/2021</v>
                </pt>
                <pt idx="118">
                  <v>28/4/2021</v>
                </pt>
                <pt idx="119">
                  <v>29/4/2021</v>
                </pt>
                <pt idx="120">
                  <v>30/4/2021</v>
                </pt>
                <pt idx="121">
                  <v>3/5/2021</v>
                </pt>
                <pt idx="122">
                  <v>4/5/2021</v>
                </pt>
                <pt idx="123">
                  <v>5/5/2021</v>
                </pt>
                <pt idx="124">
                  <v>6/5/2021</v>
                </pt>
                <pt idx="125">
                  <v>7/5/2021</v>
                </pt>
                <pt idx="126">
                  <v>10/5/2021</v>
                </pt>
                <pt idx="127">
                  <v>11/5/2021</v>
                </pt>
                <pt idx="128">
                  <v>12/5/2021</v>
                </pt>
                <pt idx="129">
                  <v>13/5/2021</v>
                </pt>
                <pt idx="130">
                  <v>14/5/2021</v>
                </pt>
                <pt idx="131">
                  <v>17/5/2021</v>
                </pt>
                <pt idx="132">
                  <v>18/5/2021</v>
                </pt>
                <pt idx="133">
                  <v>19/5/2021</v>
                </pt>
                <pt idx="134">
                  <v>20/5/2021</v>
                </pt>
                <pt idx="135">
                  <v>21/5/2021</v>
                </pt>
                <pt idx="136">
                  <v>26/5/2021</v>
                </pt>
                <pt idx="137">
                  <v>27/5/2021</v>
                </pt>
                <pt idx="138">
                  <v>28/5/2021</v>
                </pt>
                <pt idx="139">
                  <v>31/5/2021</v>
                </pt>
                <pt idx="140">
                  <v>1/6/2021</v>
                </pt>
                <pt idx="141">
                  <v>2/6/2021</v>
                </pt>
                <pt idx="142">
                  <v>3/6/2021</v>
                </pt>
                <pt idx="143">
                  <v>4/6/2021</v>
                </pt>
                <pt idx="144">
                  <v>7/6/2021</v>
                </pt>
                <pt idx="145">
                  <v>8/6/2021</v>
                </pt>
                <pt idx="146">
                  <v>9/6/2021</v>
                </pt>
                <pt idx="147">
                  <v>10/6/2021</v>
                </pt>
                <pt idx="148">
                  <v>11/6/2021</v>
                </pt>
                <pt idx="149">
                  <v>14/6/2021</v>
                </pt>
                <pt idx="150">
                  <v>15/6/2021</v>
                </pt>
                <pt idx="151">
                  <v>16/6/2021</v>
                </pt>
                <pt idx="152">
                  <v>17/6/2021</v>
                </pt>
                <pt idx="153">
                  <v>18/6/2021</v>
                </pt>
                <pt idx="154">
                  <v>22/6/2021</v>
                </pt>
                <pt idx="155">
                  <v>23/6/2021</v>
                </pt>
                <pt idx="156">
                  <v>24/6/2021</v>
                </pt>
                <pt idx="157">
                  <v>25/6/2021</v>
                </pt>
                <pt idx="158">
                  <v>28/6/2021</v>
                </pt>
                <pt idx="159">
                  <v>29/6/2021</v>
                </pt>
                <pt idx="160">
                  <v>30/6/2021</v>
                </pt>
                <pt idx="161">
                  <v>1/7/2021</v>
                </pt>
                <pt idx="162">
                  <v>2/7/2021</v>
                </pt>
                <pt idx="163">
                  <v>5/7/2021</v>
                </pt>
                <pt idx="164">
                  <v>6/7/2021</v>
                </pt>
                <pt idx="165">
                  <v>7/7/2021</v>
                </pt>
                <pt idx="166">
                  <v>8/7/2021</v>
                </pt>
                <pt idx="167">
                  <v>12/7/2021</v>
                </pt>
                <pt idx="168">
                  <v>13/7/2021</v>
                </pt>
                <pt idx="169">
                  <v>14/7/2021</v>
                </pt>
                <pt idx="170">
                  <v>15/7/2021</v>
                </pt>
                <pt idx="171">
                  <v>16/7/2021</v>
                </pt>
                <pt idx="172">
                  <v>19/7/2021</v>
                </pt>
                <pt idx="173">
                  <v>20/7/2021</v>
                </pt>
                <pt idx="174">
                  <v>21/7/2021</v>
                </pt>
                <pt idx="175">
                  <v>22/7/2021</v>
                </pt>
                <pt idx="176">
                  <v>23/7/2021</v>
                </pt>
                <pt idx="177">
                  <v>26/7/2021</v>
                </pt>
                <pt idx="178">
                  <v>27/7/2021</v>
                </pt>
                <pt idx="179">
                  <v>28/7/2021</v>
                </pt>
                <pt idx="180">
                  <v>29/7/2021</v>
                </pt>
                <pt idx="181">
                  <v>30/7/2021</v>
                </pt>
                <pt idx="182">
                  <v>1/8/2021</v>
                </pt>
                <pt idx="183">
                  <v>2/8/2021</v>
                </pt>
                <pt idx="184">
                  <v>3/8/2021</v>
                </pt>
                <pt idx="185">
                  <v>4/8/2021</v>
                </pt>
                <pt idx="186">
                  <v>5/8/2021</v>
                </pt>
                <pt idx="187">
                  <v>9/8/2021</v>
                </pt>
                <pt idx="188">
                  <v>10/8/2021</v>
                </pt>
                <pt idx="189">
                  <v>11/8/2021</v>
                </pt>
                <pt idx="190">
                  <v>12/8/2021</v>
                </pt>
                <pt idx="191">
                  <v>13/8/2021</v>
                </pt>
                <pt idx="192">
                  <v>17/8/2021</v>
                </pt>
                <pt idx="193">
                  <v>18/8/2021</v>
                </pt>
                <pt idx="194">
                  <v>19/8/2021</v>
                </pt>
                <pt idx="195">
                  <v>20/8/2021</v>
                </pt>
                <pt idx="196">
                  <v>23/8/2021</v>
                </pt>
                <pt idx="197">
                  <v>24/8/2021</v>
                </pt>
                <pt idx="198">
                  <v>25/8/2021</v>
                </pt>
                <pt idx="199">
                  <v>26/8/2021</v>
                </pt>
                <pt idx="200">
                  <v>27/8/2021</v>
                </pt>
                <pt idx="201">
                  <v>30/8/2021</v>
                </pt>
                <pt idx="202">
                  <v>31/8/2021</v>
                </pt>
                <pt idx="203">
                  <v>1/9/2021</v>
                </pt>
                <pt idx="204">
                  <v>2/9/2021</v>
                </pt>
                <pt idx="205">
                  <v>3/9/2021</v>
                </pt>
                <pt idx="206">
                  <v>6/9/2021</v>
                </pt>
                <pt idx="207">
                  <v>7/9/2021</v>
                </pt>
                <pt idx="208">
                  <v>8/9/2021</v>
                </pt>
                <pt idx="209">
                  <v>9/9/2021</v>
                </pt>
                <pt idx="210">
                  <v>10/9/2021</v>
                </pt>
                <pt idx="211">
                  <v>13/9/2021</v>
                </pt>
                <pt idx="212">
                  <v>14/9/2021</v>
                </pt>
                <pt idx="213">
                  <v>15/9/2021</v>
                </pt>
                <pt idx="214">
                  <v>16/9/2021</v>
                </pt>
                <pt idx="215">
                  <v>17/9/2021</v>
                </pt>
                <pt idx="216">
                  <v>20/9/2021</v>
                </pt>
                <pt idx="217">
                  <v>21/9/2021</v>
                </pt>
                <pt idx="218">
                  <v>22/9/2021</v>
                </pt>
                <pt idx="219">
                  <v>23/9/2021</v>
                </pt>
                <pt idx="220">
                  <v>24/9/2021</v>
                </pt>
                <pt idx="221">
                  <v>27/9/2021</v>
                </pt>
                <pt idx="222">
                  <v>28/9/2021</v>
                </pt>
                <pt idx="223">
                  <v>29/9/2021</v>
                </pt>
                <pt idx="224">
                  <v>30/9/2021</v>
                </pt>
                <pt idx="225">
                  <v>1/10/2021</v>
                </pt>
                <pt idx="226">
                  <v>4/10/2021</v>
                </pt>
                <pt idx="227">
                  <v>5/10/2021</v>
                </pt>
                <pt idx="228">
                  <v>6/10/2021</v>
                </pt>
                <pt idx="229">
                  <v>7/10/2021</v>
                </pt>
                <pt idx="230">
                  <v>12/10/2021</v>
                </pt>
                <pt idx="231">
                  <v>13/10/2021</v>
                </pt>
                <pt idx="232">
                  <v>14/10/2021</v>
                </pt>
                <pt idx="233">
                  <v>15/10/2021</v>
                </pt>
                <pt idx="234">
                  <v>18/10/2021</v>
                </pt>
              </strCache>
            </strRef>
          </cat>
          <val>
            <numRef>
              <f>'Grafico Paridades'!$H$3:$H$238</f>
              <numCache>
                <formatCode>0.00%</formatCode>
                <ptCount val="235"/>
                <pt idx="0">
                  <v>0.3503047171169442</v>
                </pt>
                <pt idx="1">
                  <v>0.350403603121883</v>
                </pt>
                <pt idx="2">
                  <v>0.3513031794562431</v>
                </pt>
                <pt idx="3">
                  <v>0.3508992257095949</v>
                </pt>
                <pt idx="4">
                  <v>0.3553017631412981</v>
                </pt>
                <pt idx="5">
                  <v>0.3563013919308456</v>
                </pt>
                <pt idx="6">
                  <v>0.3628056513363999</v>
                </pt>
                <pt idx="7">
                  <v>0.3583006289523744</v>
                </pt>
                <pt idx="8">
                  <v>0.3728089718191104</v>
                </pt>
                <pt idx="9">
                  <v>0.3713064549851076</v>
                </pt>
                <pt idx="10">
                  <v>0.3733068275294762</v>
                </pt>
                <pt idx="11">
                  <v>0.3662998138887651</v>
                </pt>
                <pt idx="12">
                  <v>0.3686004346008048</v>
                </pt>
                <pt idx="13">
                  <v>0.3728000274193272</v>
                </pt>
                <pt idx="14">
                  <v>0.3722983486766793</v>
                </pt>
                <pt idx="15">
                  <v>0.3752994684114379</v>
                </pt>
                <pt idx="16">
                  <v>0.3691933316881906</v>
                </pt>
                <pt idx="17">
                  <v>0.3677909579153371</v>
                </pt>
                <pt idx="18">
                  <v>0.3620814811514431</v>
                </pt>
                <pt idx="19">
                  <v>0.364281944244518</v>
                </pt>
                <pt idx="20">
                  <v>0.357375374860766</v>
                </pt>
                <pt idx="21">
                  <v>0.3625781421364334</v>
                </pt>
                <pt idx="22">
                  <v>0.3601725963828789</v>
                </pt>
                <pt idx="23">
                  <v>0.3538666118308315</v>
                </pt>
                <pt idx="24">
                  <v>0.3562672004003002</v>
                </pt>
                <pt idx="25">
                  <v>0.3570665771020831</v>
                </pt>
                <pt idx="26">
                  <v>0.3532625272891155</v>
                </pt>
                <pt idx="27">
                  <v>0.3492535676587111</v>
                </pt>
                <pt idx="28">
                  <v>0.3553567817840974</v>
                </pt>
                <pt idx="29">
                  <v>0.3562562116590699</v>
                </pt>
                <pt idx="30">
                  <v>0.3562525488959639</v>
                </pt>
                <pt idx="31">
                  <v>0.351247798104142</v>
                </pt>
                <pt idx="32">
                  <v>0.3512465943556264</v>
                </pt>
                <pt idx="33">
                  <v>0.3587506340045786</v>
                </pt>
                <pt idx="34">
                  <v>0.3620517003259115</v>
                </pt>
                <pt idx="35">
                  <v>0.3702535983550377</v>
                </pt>
                <pt idx="36">
                  <v>0.3652489196404399</v>
                </pt>
                <pt idx="37">
                  <v>0.3632463108546206</v>
                </pt>
                <pt idx="38">
                  <v>0.3677430630519487</v>
                </pt>
                <pt idx="39">
                  <v>0.3662408158789341</v>
                </pt>
                <pt idx="40">
                  <v>0.3652389062708827</v>
                </pt>
                <pt idx="41">
                  <v>0.3612300986244663</v>
                </pt>
                <pt idx="42">
                  <v>0.3566259445196443</v>
                </pt>
                <pt idx="43">
                  <v>0.3577254160155715</v>
                </pt>
                <pt idx="44">
                  <v>0.3513201766860738</v>
                </pt>
                <pt idx="45">
                  <v>0.3502182867403656</v>
                </pt>
                <pt idx="46">
                  <v>0.3502146864002248</v>
                </pt>
                <pt idx="47">
                  <v>0.3482122663815613</v>
                </pt>
                <pt idx="48">
                  <v>0.3442086470223389</v>
                </pt>
                <pt idx="49">
                  <v>0.3441074072043424</v>
                </pt>
                <pt idx="50">
                  <v>0.3427053885033839</v>
                </pt>
                <pt idx="51">
                  <v>0.3427018654824074</v>
                </pt>
                <pt idx="52">
                  <v>0.3442015700975571</v>
                </pt>
                <pt idx="53">
                  <v>0.3411986430456088</v>
                </pt>
                <pt idx="54">
                  <v>0.3371951574712762</v>
                </pt>
                <pt idx="55">
                  <v>0.3405959593190603</v>
                </pt>
                <pt idx="56">
                  <v>0.3421933626878202</v>
                </pt>
                <pt idx="57">
                  <v>0.3406913471949999</v>
                </pt>
                <pt idx="58">
                  <v>0.3401899005266639</v>
                </pt>
                <pt idx="59">
                  <v>0.3391881797435564</v>
                </pt>
                <pt idx="60">
                  <v>0.3364855279794682</v>
                </pt>
                <pt idx="61">
                  <v>0.3381829894257852</v>
                </pt>
                <pt idx="62">
                  <v>0.3381818306418177</v>
                </pt>
                <pt idx="63">
                  <v>0.3391812063979386</v>
                </pt>
                <pt idx="64">
                  <v>0.3411811064092241</v>
                </pt>
                <pt idx="65">
                  <v>0.3412799901317818</v>
                </pt>
                <pt idx="66">
                  <v>0.3412764820163852</v>
                </pt>
                <pt idx="67">
                  <v>0.3382737707726572</v>
                </pt>
                <pt idx="68">
                  <v>0.3390730201369877</v>
                </pt>
                <pt idx="69">
                  <v>0.3381714019434507</v>
                </pt>
                <pt idx="70">
                  <v>0.3356689840433368</v>
                </pt>
                <pt idx="71">
                  <v>0.3291600709934283</v>
                </pt>
                <pt idx="72">
                  <v>0.3302594746093148</v>
                </pt>
                <pt idx="73">
                  <v>0.3251558966627836</v>
                </pt>
                <pt idx="74">
                  <v>0.3226513809561335</v>
                </pt>
                <pt idx="75">
                  <v>0.3212496231121344</v>
                </pt>
                <pt idx="76">
                  <v>0.3251503263495109</v>
                </pt>
                <pt idx="77">
                  <v>0.3291510487689556</v>
                </pt>
                <pt idx="78">
                  <v>0.3301503767126808</v>
                </pt>
                <pt idx="79">
                  <v>0.3302470277863432</v>
                </pt>
                <pt idx="80">
                  <v>0.3222423604948761</v>
                </pt>
                <pt idx="81">
                  <v>0.3186396776669225</v>
                </pt>
                <pt idx="82">
                  <v>0.3257416753176895</v>
                </pt>
                <pt idx="83">
                  <v>0.3166366308749666</v>
                </pt>
                <pt idx="84">
                  <v>0.316633376387999</v>
                </pt>
                <pt idx="85">
                  <v>0.3053275683676057</v>
                </pt>
                <pt idx="86">
                  <v>0.2981235374932764</v>
                </pt>
                <pt idx="87">
                  <v>0.3027244072906674</v>
                </pt>
                <pt idx="88">
                  <v>0.3051243486215273</v>
                </pt>
                <pt idx="89">
                  <v>0.309623000918173</v>
                </pt>
                <pt idx="90">
                  <v>0.3130232797163267</v>
                </pt>
                <pt idx="91">
                  <v>0.3167236523848352</v>
                </pt>
                <pt idx="92">
                  <v>0.3161223350132072</v>
                </pt>
                <pt idx="93">
                  <v>0.3217234007564545</v>
                </pt>
                <pt idx="94">
                  <v>0.3276222973644271</v>
                </pt>
                <pt idx="95">
                  <v>0.3275211379551341</v>
                </pt>
                <pt idx="96">
                  <v>0.3152144271550631</v>
                </pt>
                <pt idx="97">
                  <v>0.3121122321382689</v>
                </pt>
                <pt idx="98">
                  <v>0.3082076615804151</v>
                </pt>
                <pt idx="99">
                  <v>0.3070061904973981</v>
                </pt>
                <pt idx="100">
                  <v>0.3050044535799931</v>
                </pt>
                <pt idx="101">
                  <v>0.306099587194464</v>
                </pt>
                <pt idx="102">
                  <v>0.3050982165491631</v>
                </pt>
                <pt idx="103">
                  <v>0.3036967253269021</v>
                </pt>
                <pt idx="104">
                  <v>0.304095811008948</v>
                </pt>
                <pt idx="105">
                  <v>0.3019941146042089</v>
                </pt>
                <pt idx="106">
                  <v>0.3060922469785415</v>
                </pt>
                <pt idx="107">
                  <v>0.3085919434900125</v>
                </pt>
                <pt idx="108">
                  <v>0.3072905033674301</v>
                </pt>
                <pt idx="109">
                  <v>0.3078896254046555</v>
                </pt>
                <pt idx="110">
                  <v>0.3100892037435427</v>
                </pt>
                <pt idx="111">
                  <v>0.3080854620631066</v>
                </pt>
                <pt idx="112">
                  <v>0.3086845711153741</v>
                </pt>
                <pt idx="113">
                  <v>0.3095837572493928</v>
                </pt>
                <pt idx="114">
                  <v>0.3116832578565507</v>
                </pt>
                <pt idx="115">
                  <v>0.3150830869784155</v>
                </pt>
                <pt idx="116">
                  <v>0.3150798490028295</v>
                </pt>
                <pt idx="117">
                  <v>0.320580145036259</v>
                </pt>
                <pt idx="118">
                  <v>0.3220794168425091</v>
                </pt>
                <pt idx="119">
                  <v>0.3175772191183472</v>
                </pt>
                <pt idx="120">
                  <v>0.3200767307231185</v>
                </pt>
                <pt idx="121">
                  <v>0.3200734415088394</v>
                </pt>
                <pt idx="122">
                  <v>0.320172367726952</v>
                </pt>
                <pt idx="123">
                  <v>0.3180708034322709</v>
                </pt>
                <pt idx="124">
                  <v>0.3156691877671818</v>
                </pt>
                <pt idx="125">
                  <v>0.3135676532950603</v>
                </pt>
                <pt idx="126">
                  <v>0.3140645338083168</v>
                </pt>
                <pt idx="127">
                  <v>0.3101626698545254</v>
                </pt>
                <pt idx="128">
                  <v>0.3132622233183304</v>
                </pt>
                <pt idx="129">
                  <v>0.3120609160007262</v>
                </pt>
                <pt idx="130">
                  <v>0.324562244814074</v>
                </pt>
                <pt idx="131">
                  <v>0.3290597265942106</v>
                </pt>
                <pt idx="132">
                  <v>0.3290585994766191</v>
                </pt>
                <pt idx="133">
                  <v>0.329057472366749</v>
                </pt>
                <pt idx="134">
                  <v>0.3280561740023976</v>
                </pt>
                <pt idx="135">
                  <v>0.3225541272336796</v>
                </pt>
                <pt idx="136">
                  <v>0.3345504117058735</v>
                </pt>
                <pt idx="137">
                  <v>0.3380497813034111</v>
                </pt>
                <pt idx="138">
                  <v>0.3350481918632132</v>
                </pt>
                <pt idx="139">
                  <v>0.334044615547967</v>
                </pt>
                <pt idx="140">
                  <v>0.3371438748878279</v>
                </pt>
                <pt idx="141">
                  <v>0.3420433411082912</v>
                </pt>
                <pt idx="142">
                  <v>0.3327410228658328</v>
                </pt>
                <pt idx="143">
                  <v>0.3354402068741116</v>
                </pt>
                <pt idx="144">
                  <v>0.3380370451556335</v>
                </pt>
                <pt idx="145">
                  <v>0.3409361952810059</v>
                </pt>
                <pt idx="146">
                  <v>0.3474356954481625</v>
                </pt>
                <pt idx="147">
                  <v>0.3505348133890009</v>
                </pt>
                <pt idx="148">
                  <v>0.3515337087117943</v>
                </pt>
                <pt idx="149">
                  <v>0.3509300453805977</v>
                </pt>
                <pt idx="150">
                  <v>0.3473285475518536</v>
                </pt>
                <pt idx="151">
                  <v>0.3444271295341756</v>
                </pt>
                <pt idx="152">
                  <v>0.341425723855907</v>
                </pt>
                <pt idx="153">
                  <v>0.3381243171597957</v>
                </pt>
                <pt idx="154">
                  <v>0.3335194172263454</v>
                </pt>
                <pt idx="155">
                  <v>0.3330182475752096</v>
                </pt>
                <pt idx="156">
                  <v>0.329516927239413</v>
                </pt>
                <pt idx="157">
                  <v>0.320615371969889</v>
                </pt>
                <pt idx="158">
                  <v>0.3200120552486566</v>
                </pt>
                <pt idx="159">
                  <v>0.3140107537929381</v>
                </pt>
                <pt idx="160">
                  <v>0.3130096475576302</v>
                </pt>
                <pt idx="161">
                  <v>0.3135085892764186</v>
                </pt>
                <pt idx="162">
                  <v>0.3175076114838369</v>
                </pt>
                <pt idx="163">
                  <v>0.3150043151276045</v>
                </pt>
                <pt idx="164">
                  <v>0.3108031931834916</v>
                </pt>
                <pt idx="165">
                  <v>0.3126021411105556</v>
                </pt>
                <pt idx="166">
                  <v>0.3150010787708177</v>
                </pt>
                <pt idx="167">
                  <v>0.3189967226364113</v>
                </pt>
                <pt idx="168">
                  <v>0.3274955137600855</v>
                </pt>
                <pt idx="169">
                  <v>0.325994417903803</v>
                </pt>
                <pt idx="170">
                  <v>0.3271932768504757</v>
                </pt>
                <pt idx="171">
                  <v>0.3264921731328359</v>
                </pt>
                <pt idx="172">
                  <v>0.3293887195643985</v>
                </pt>
                <pt idx="173">
                  <v>0.3311875237576666</v>
                </pt>
                <pt idx="174">
                  <v>0.3325863320685451</v>
                </pt>
                <pt idx="175">
                  <v>0.3329851753175372</v>
                </pt>
                <pt idx="176">
                  <v>0.3333840158348573</v>
                </pt>
                <pt idx="177">
                  <v>0.3349804977107497</v>
                </pt>
                <pt idx="178">
                  <v>0.3344793814079954</v>
                </pt>
                <pt idx="179">
                  <v>0.3370780668381167</v>
                </pt>
                <pt idx="180">
                  <v>0.3349770563660023</v>
                </pt>
                <pt idx="181">
                  <v>0.3357758517366902</v>
                </pt>
                <pt idx="182">
                  <v>0.3359735363310424</v>
                </pt>
                <pt idx="183">
                  <v>0.3369723036462757</v>
                </pt>
                <pt idx="184">
                  <v>0.3342713808749251</v>
                </pt>
                <pt idx="185">
                  <v>0.3301706012478342</v>
                </pt>
                <pt idx="186">
                  <v>0.3274697202655919</v>
                </pt>
                <pt idx="187">
                  <v>0.3269652879317607</v>
                </pt>
                <pt idx="188">
                  <v>0.3290639381985536</v>
                </pt>
                <pt idx="189">
                  <v>0.3302626757934891</v>
                </pt>
                <pt idx="190">
                  <v>0.3379606484176499</v>
                </pt>
                <pt idx="191">
                  <v>0.3324601503244474</v>
                </pt>
                <pt idx="192">
                  <v>0.3269563311749458</v>
                </pt>
                <pt idx="193">
                  <v>0.3317545541706616</v>
                </pt>
                <pt idx="194">
                  <v>0.3319533901061837</v>
                </pt>
                <pt idx="195">
                  <v>0.3269529725176516</v>
                </pt>
                <pt idx="196">
                  <v>0.3289493057576743</v>
                </pt>
                <pt idx="197">
                  <v>0.3379467618114954</v>
                </pt>
                <pt idx="198">
                  <v>0.3349460874448291</v>
                </pt>
                <pt idx="199">
                  <v>0.3399441187749959</v>
                </pt>
                <pt idx="200">
                  <v>0.341242736664053</v>
                </pt>
                <pt idx="201">
                  <v>0.3499376823305439</v>
                </pt>
                <pt idx="202">
                  <v>0.349936484131305</v>
                </pt>
                <pt idx="203">
                  <v>0.3559341765563903</v>
                </pt>
                <pt idx="204">
                  <v>0.3579325811918987</v>
                </pt>
                <pt idx="205">
                  <v>0.3569315473744761</v>
                </pt>
                <pt idx="206">
                  <v>0.3594273759754023</v>
                </pt>
                <pt idx="207">
                  <v>0.3634253235636513</v>
                </pt>
                <pt idx="208">
                  <v>0.3586250817466214</v>
                </pt>
                <pt idx="209">
                  <v>0.3559244270052249</v>
                </pt>
                <pt idx="210">
                  <v>0.3450255595539318</v>
                </pt>
                <pt idx="211">
                  <v>0.3560195298322982</v>
                </pt>
                <pt idx="212">
                  <v>0.3561182879270852</v>
                </pt>
                <pt idx="213">
                  <v>0.3559171151923525</v>
                </pt>
                <pt idx="214">
                  <v>0.3579154240949912</v>
                </pt>
                <pt idx="215">
                  <v>0.3579141986510083</v>
                </pt>
                <pt idx="216">
                  <v>0.3514121469632592</v>
                </pt>
                <pt idx="217">
                  <v>0.3499113238425878</v>
                </pt>
                <pt idx="218">
                  <v>0.3424120516990499</v>
                </pt>
                <pt idx="219">
                  <v>0.3454100987414234</v>
                </pt>
                <pt idx="220">
                  <v>0.3443092061339989</v>
                </pt>
                <pt idx="221">
                  <v>0.3409066009312517</v>
                </pt>
                <pt idx="222">
                  <v>0.3449043244853311</v>
                </pt>
                <pt idx="223">
                  <v>0.3474024417800481</v>
                </pt>
                <pt idx="224">
                  <v>0.3449019627982457</v>
                </pt>
                <pt idx="225">
                  <v>0.3439010695553334</v>
                </pt>
                <pt idx="226">
                  <v>0.3435976267345003</v>
                </pt>
                <pt idx="227">
                  <v>0.3443962093615623</v>
                </pt>
                <pt idx="228">
                  <v>0.3308991437541298</v>
                </pt>
                <pt idx="229">
                  <v>0.3398952377691807</v>
                </pt>
                <pt idx="230">
                  <v>0.3358907204847738</v>
                </pt>
                <pt idx="231">
                  <v>0.3378889132340052</v>
                </pt>
                <pt idx="232">
                  <v>0.3248920735235213</v>
                </pt>
                <pt idx="233">
                  <v>0.3343877739662716</v>
                </pt>
                <pt idx="234">
                  <v>0.3308855498611782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520000"/>
        <axId val="133534080"/>
      </lineChart>
      <catAx>
        <axId val="1335200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534080"/>
        <crosses val="autoZero"/>
        <auto val="1"/>
        <lblAlgn val="ctr"/>
        <lblOffset val="100"/>
        <noMultiLvlLbl val="0"/>
      </catAx>
      <valAx>
        <axId val="133534080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5200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5.xml><?xml version="1.0" encoding="utf-8"?>
<chartSpace xmlns="http://schemas.openxmlformats.org/drawingml/2006/chart">
  <pivotSource>
    <name>[Bonos en dolares.xlsm]g29-41!Tabla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29-41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'g29-41'!$A$2:$A$237</f>
              <strCache>
                <ptCount val="235"/>
                <pt idx="0">
                  <v>28/10/2020</v>
                </pt>
                <pt idx="1">
                  <v>29/10/2020</v>
                </pt>
                <pt idx="2">
                  <v>30/10/2020</v>
                </pt>
                <pt idx="3">
                  <v>2/11/2020</v>
                </pt>
                <pt idx="4">
                  <v>3/11/2020</v>
                </pt>
                <pt idx="5">
                  <v>4/11/2020</v>
                </pt>
                <pt idx="6">
                  <v>5/11/2020</v>
                </pt>
                <pt idx="7">
                  <v>6/11/2020</v>
                </pt>
                <pt idx="8">
                  <v>9/11/2020</v>
                </pt>
                <pt idx="9">
                  <v>10/11/2020</v>
                </pt>
                <pt idx="10">
                  <v>11/11/2020</v>
                </pt>
                <pt idx="11">
                  <v>12/11/2020</v>
                </pt>
                <pt idx="12">
                  <v>13/11/2020</v>
                </pt>
                <pt idx="13">
                  <v>16/11/2020</v>
                </pt>
                <pt idx="14">
                  <v>17/11/2020</v>
                </pt>
                <pt idx="15">
                  <v>18/11/2020</v>
                </pt>
                <pt idx="16">
                  <v>19/11/2020</v>
                </pt>
                <pt idx="17">
                  <v>20/11/2020</v>
                </pt>
                <pt idx="18">
                  <v>24/11/2020</v>
                </pt>
                <pt idx="19">
                  <v>25/11/2020</v>
                </pt>
                <pt idx="20">
                  <v>26/11/2020</v>
                </pt>
                <pt idx="21">
                  <v>27/11/2020</v>
                </pt>
                <pt idx="22">
                  <v>30/11/2020</v>
                </pt>
                <pt idx="23">
                  <v>1/12/2020</v>
                </pt>
                <pt idx="24">
                  <v>2/12/2020</v>
                </pt>
                <pt idx="25">
                  <v>3/12/2020</v>
                </pt>
                <pt idx="26">
                  <v>4/12/2020</v>
                </pt>
                <pt idx="27">
                  <v>9/12/2020</v>
                </pt>
                <pt idx="28">
                  <v>10/12/2020</v>
                </pt>
                <pt idx="29">
                  <v>11/12/2020</v>
                </pt>
                <pt idx="30">
                  <v>14/12/2020</v>
                </pt>
                <pt idx="31">
                  <v>15/12/2020</v>
                </pt>
                <pt idx="32">
                  <v>16/12/2020</v>
                </pt>
                <pt idx="33">
                  <v>17/12/2020</v>
                </pt>
                <pt idx="34">
                  <v>18/12/2020</v>
                </pt>
                <pt idx="35">
                  <v>21/12/2020</v>
                </pt>
                <pt idx="36">
                  <v>22/12/2020</v>
                </pt>
                <pt idx="37">
                  <v>23/12/2020</v>
                </pt>
                <pt idx="38">
                  <v>28/12/2020</v>
                </pt>
                <pt idx="39">
                  <v>29/12/2020</v>
                </pt>
                <pt idx="40">
                  <v>30/12/2020</v>
                </pt>
                <pt idx="41">
                  <v>4/1/2021</v>
                </pt>
                <pt idx="42">
                  <v>5/1/2021</v>
                </pt>
                <pt idx="43">
                  <v>6/1/2021</v>
                </pt>
                <pt idx="44">
                  <v>7/1/2021</v>
                </pt>
                <pt idx="45">
                  <v>8/1/2021</v>
                </pt>
                <pt idx="46">
                  <v>11/1/2021</v>
                </pt>
                <pt idx="47">
                  <v>12/1/2021</v>
                </pt>
                <pt idx="48">
                  <v>13/1/2021</v>
                </pt>
                <pt idx="49">
                  <v>14/1/2021</v>
                </pt>
                <pt idx="50">
                  <v>15/1/2021</v>
                </pt>
                <pt idx="51">
                  <v>18/1/2021</v>
                </pt>
                <pt idx="52">
                  <v>19/1/2021</v>
                </pt>
                <pt idx="53">
                  <v>20/1/2021</v>
                </pt>
                <pt idx="54">
                  <v>21/1/2021</v>
                </pt>
                <pt idx="55">
                  <v>22/1/2021</v>
                </pt>
                <pt idx="56">
                  <v>25/1/2021</v>
                </pt>
                <pt idx="57">
                  <v>26/1/2021</v>
                </pt>
                <pt idx="58">
                  <v>27/1/2021</v>
                </pt>
                <pt idx="59">
                  <v>28/1/2021</v>
                </pt>
                <pt idx="60">
                  <v>29/1/2021</v>
                </pt>
                <pt idx="61">
                  <v>1/2/2021</v>
                </pt>
                <pt idx="62">
                  <v>2/2/2021</v>
                </pt>
                <pt idx="63">
                  <v>3/2/2021</v>
                </pt>
                <pt idx="64">
                  <v>4/2/2021</v>
                </pt>
                <pt idx="65">
                  <v>5/2/2021</v>
                </pt>
                <pt idx="66">
                  <v>8/2/2021</v>
                </pt>
                <pt idx="67">
                  <v>9/2/2021</v>
                </pt>
                <pt idx="68">
                  <v>10/2/2021</v>
                </pt>
                <pt idx="69">
                  <v>11/2/2021</v>
                </pt>
                <pt idx="70">
                  <v>12/2/2021</v>
                </pt>
                <pt idx="71">
                  <v>17/2/2021</v>
                </pt>
                <pt idx="72">
                  <v>18/2/2021</v>
                </pt>
                <pt idx="73">
                  <v>19/2/2021</v>
                </pt>
                <pt idx="74">
                  <v>22/2/2021</v>
                </pt>
                <pt idx="75">
                  <v>23/2/2021</v>
                </pt>
                <pt idx="76">
                  <v>24/2/2021</v>
                </pt>
                <pt idx="77">
                  <v>25/2/2021</v>
                </pt>
                <pt idx="78">
                  <v>26/2/2021</v>
                </pt>
                <pt idx="79">
                  <v>1/3/2021</v>
                </pt>
                <pt idx="80">
                  <v>2/3/2021</v>
                </pt>
                <pt idx="81">
                  <v>3/3/2021</v>
                </pt>
                <pt idx="82">
                  <v>4/3/2021</v>
                </pt>
                <pt idx="83">
                  <v>5/3/2021</v>
                </pt>
                <pt idx="84">
                  <v>8/3/2021</v>
                </pt>
                <pt idx="85">
                  <v>9/3/2021</v>
                </pt>
                <pt idx="86">
                  <v>10/3/2021</v>
                </pt>
                <pt idx="87">
                  <v>11/3/2021</v>
                </pt>
                <pt idx="88">
                  <v>12/3/2021</v>
                </pt>
                <pt idx="89">
                  <v>15/3/2021</v>
                </pt>
                <pt idx="90">
                  <v>16/3/2021</v>
                </pt>
                <pt idx="91">
                  <v>17/3/2021</v>
                </pt>
                <pt idx="92">
                  <v>18/3/2021</v>
                </pt>
                <pt idx="93">
                  <v>19/3/2021</v>
                </pt>
                <pt idx="94">
                  <v>22/3/2021</v>
                </pt>
                <pt idx="95">
                  <v>23/3/2021</v>
                </pt>
                <pt idx="96">
                  <v>25/3/2021</v>
                </pt>
                <pt idx="97">
                  <v>26/3/2021</v>
                </pt>
                <pt idx="98">
                  <v>29/3/2021</v>
                </pt>
                <pt idx="99">
                  <v>30/3/2021</v>
                </pt>
                <pt idx="100">
                  <v>31/3/2021</v>
                </pt>
                <pt idx="101">
                  <v>5/4/2021</v>
                </pt>
                <pt idx="102">
                  <v>6/4/2021</v>
                </pt>
                <pt idx="103">
                  <v>7/4/2021</v>
                </pt>
                <pt idx="104">
                  <v>8/4/2021</v>
                </pt>
                <pt idx="105">
                  <v>9/4/2021</v>
                </pt>
                <pt idx="106">
                  <v>12/4/2021</v>
                </pt>
                <pt idx="107">
                  <v>13/4/2021</v>
                </pt>
                <pt idx="108">
                  <v>14/4/2021</v>
                </pt>
                <pt idx="109">
                  <v>15/4/2021</v>
                </pt>
                <pt idx="110">
                  <v>16/4/2021</v>
                </pt>
                <pt idx="111">
                  <v>19/4/2021</v>
                </pt>
                <pt idx="112">
                  <v>20/4/2021</v>
                </pt>
                <pt idx="113">
                  <v>21/4/2021</v>
                </pt>
                <pt idx="114">
                  <v>22/4/2021</v>
                </pt>
                <pt idx="115">
                  <v>23/4/2021</v>
                </pt>
                <pt idx="116">
                  <v>26/4/2021</v>
                </pt>
                <pt idx="117">
                  <v>27/4/2021</v>
                </pt>
                <pt idx="118">
                  <v>28/4/2021</v>
                </pt>
                <pt idx="119">
                  <v>29/4/2021</v>
                </pt>
                <pt idx="120">
                  <v>30/4/2021</v>
                </pt>
                <pt idx="121">
                  <v>3/5/2021</v>
                </pt>
                <pt idx="122">
                  <v>4/5/2021</v>
                </pt>
                <pt idx="123">
                  <v>5/5/2021</v>
                </pt>
                <pt idx="124">
                  <v>6/5/2021</v>
                </pt>
                <pt idx="125">
                  <v>7/5/2021</v>
                </pt>
                <pt idx="126">
                  <v>10/5/2021</v>
                </pt>
                <pt idx="127">
                  <v>11/5/2021</v>
                </pt>
                <pt idx="128">
                  <v>12/5/2021</v>
                </pt>
                <pt idx="129">
                  <v>13/5/2021</v>
                </pt>
                <pt idx="130">
                  <v>14/5/2021</v>
                </pt>
                <pt idx="131">
                  <v>17/5/2021</v>
                </pt>
                <pt idx="132">
                  <v>18/5/2021</v>
                </pt>
                <pt idx="133">
                  <v>19/5/2021</v>
                </pt>
                <pt idx="134">
                  <v>20/5/2021</v>
                </pt>
                <pt idx="135">
                  <v>21/5/2021</v>
                </pt>
                <pt idx="136">
                  <v>26/5/2021</v>
                </pt>
                <pt idx="137">
                  <v>27/5/2021</v>
                </pt>
                <pt idx="138">
                  <v>28/5/2021</v>
                </pt>
                <pt idx="139">
                  <v>31/5/2021</v>
                </pt>
                <pt idx="140">
                  <v>1/6/2021</v>
                </pt>
                <pt idx="141">
                  <v>2/6/2021</v>
                </pt>
                <pt idx="142">
                  <v>3/6/2021</v>
                </pt>
                <pt idx="143">
                  <v>4/6/2021</v>
                </pt>
                <pt idx="144">
                  <v>7/6/2021</v>
                </pt>
                <pt idx="145">
                  <v>8/6/2021</v>
                </pt>
                <pt idx="146">
                  <v>9/6/2021</v>
                </pt>
                <pt idx="147">
                  <v>10/6/2021</v>
                </pt>
                <pt idx="148">
                  <v>11/6/2021</v>
                </pt>
                <pt idx="149">
                  <v>14/6/2021</v>
                </pt>
                <pt idx="150">
                  <v>15/6/2021</v>
                </pt>
                <pt idx="151">
                  <v>16/6/2021</v>
                </pt>
                <pt idx="152">
                  <v>17/6/2021</v>
                </pt>
                <pt idx="153">
                  <v>18/6/2021</v>
                </pt>
                <pt idx="154">
                  <v>22/6/2021</v>
                </pt>
                <pt idx="155">
                  <v>23/6/2021</v>
                </pt>
                <pt idx="156">
                  <v>24/6/2021</v>
                </pt>
                <pt idx="157">
                  <v>25/6/2021</v>
                </pt>
                <pt idx="158">
                  <v>28/6/2021</v>
                </pt>
                <pt idx="159">
                  <v>29/6/2021</v>
                </pt>
                <pt idx="160">
                  <v>30/6/2021</v>
                </pt>
                <pt idx="161">
                  <v>1/7/2021</v>
                </pt>
                <pt idx="162">
                  <v>2/7/2021</v>
                </pt>
                <pt idx="163">
                  <v>5/7/2021</v>
                </pt>
                <pt idx="164">
                  <v>6/7/2021</v>
                </pt>
                <pt idx="165">
                  <v>7/7/2021</v>
                </pt>
                <pt idx="166">
                  <v>8/7/2021</v>
                </pt>
                <pt idx="167">
                  <v>12/7/2021</v>
                </pt>
                <pt idx="168">
                  <v>13/7/2021</v>
                </pt>
                <pt idx="169">
                  <v>14/7/2021</v>
                </pt>
                <pt idx="170">
                  <v>15/7/2021</v>
                </pt>
                <pt idx="171">
                  <v>16/7/2021</v>
                </pt>
                <pt idx="172">
                  <v>19/7/2021</v>
                </pt>
                <pt idx="173">
                  <v>20/7/2021</v>
                </pt>
                <pt idx="174">
                  <v>21/7/2021</v>
                </pt>
                <pt idx="175">
                  <v>22/7/2021</v>
                </pt>
                <pt idx="176">
                  <v>23/7/2021</v>
                </pt>
                <pt idx="177">
                  <v>26/7/2021</v>
                </pt>
                <pt idx="178">
                  <v>27/7/2021</v>
                </pt>
                <pt idx="179">
                  <v>28/7/2021</v>
                </pt>
                <pt idx="180">
                  <v>29/7/2021</v>
                </pt>
                <pt idx="181">
                  <v>30/7/2021</v>
                </pt>
                <pt idx="182">
                  <v>1/8/2021</v>
                </pt>
                <pt idx="183">
                  <v>2/8/2021</v>
                </pt>
                <pt idx="184">
                  <v>3/8/2021</v>
                </pt>
                <pt idx="185">
                  <v>4/8/2021</v>
                </pt>
                <pt idx="186">
                  <v>5/8/2021</v>
                </pt>
                <pt idx="187">
                  <v>9/8/2021</v>
                </pt>
                <pt idx="188">
                  <v>10/8/2021</v>
                </pt>
                <pt idx="189">
                  <v>11/8/2021</v>
                </pt>
                <pt idx="190">
                  <v>12/8/2021</v>
                </pt>
                <pt idx="191">
                  <v>13/8/2021</v>
                </pt>
                <pt idx="192">
                  <v>17/8/2021</v>
                </pt>
                <pt idx="193">
                  <v>18/8/2021</v>
                </pt>
                <pt idx="194">
                  <v>19/8/2021</v>
                </pt>
                <pt idx="195">
                  <v>20/8/2021</v>
                </pt>
                <pt idx="196">
                  <v>23/8/2021</v>
                </pt>
                <pt idx="197">
                  <v>24/8/2021</v>
                </pt>
                <pt idx="198">
                  <v>25/8/2021</v>
                </pt>
                <pt idx="199">
                  <v>26/8/2021</v>
                </pt>
                <pt idx="200">
                  <v>27/8/2021</v>
                </pt>
                <pt idx="201">
                  <v>30/8/2021</v>
                </pt>
                <pt idx="202">
                  <v>31/8/2021</v>
                </pt>
                <pt idx="203">
                  <v>1/9/2021</v>
                </pt>
                <pt idx="204">
                  <v>2/9/2021</v>
                </pt>
                <pt idx="205">
                  <v>3/9/2021</v>
                </pt>
                <pt idx="206">
                  <v>6/9/2021</v>
                </pt>
                <pt idx="207">
                  <v>7/9/2021</v>
                </pt>
                <pt idx="208">
                  <v>8/9/2021</v>
                </pt>
                <pt idx="209">
                  <v>9/9/2021</v>
                </pt>
                <pt idx="210">
                  <v>10/9/2021</v>
                </pt>
                <pt idx="211">
                  <v>13/9/2021</v>
                </pt>
                <pt idx="212">
                  <v>14/9/2021</v>
                </pt>
                <pt idx="213">
                  <v>15/9/2021</v>
                </pt>
                <pt idx="214">
                  <v>16/9/2021</v>
                </pt>
                <pt idx="215">
                  <v>17/9/2021</v>
                </pt>
                <pt idx="216">
                  <v>20/9/2021</v>
                </pt>
                <pt idx="217">
                  <v>21/9/2021</v>
                </pt>
                <pt idx="218">
                  <v>22/9/2021</v>
                </pt>
                <pt idx="219">
                  <v>23/9/2021</v>
                </pt>
                <pt idx="220">
                  <v>24/9/2021</v>
                </pt>
                <pt idx="221">
                  <v>27/9/2021</v>
                </pt>
                <pt idx="222">
                  <v>28/9/2021</v>
                </pt>
                <pt idx="223">
                  <v>29/9/2021</v>
                </pt>
                <pt idx="224">
                  <v>30/9/2021</v>
                </pt>
                <pt idx="225">
                  <v>1/10/2021</v>
                </pt>
                <pt idx="226">
                  <v>4/10/2021</v>
                </pt>
                <pt idx="227">
                  <v>5/10/2021</v>
                </pt>
                <pt idx="228">
                  <v>6/10/2021</v>
                </pt>
                <pt idx="229">
                  <v>7/10/2021</v>
                </pt>
                <pt idx="230">
                  <v>12/10/2021</v>
                </pt>
                <pt idx="231">
                  <v>13/10/2021</v>
                </pt>
                <pt idx="232">
                  <v>14/10/2021</v>
                </pt>
                <pt idx="233">
                  <v>15/10/2021</v>
                </pt>
                <pt idx="234">
                  <v>18/10/2021</v>
                </pt>
              </strCache>
            </strRef>
          </cat>
          <val>
            <numRef>
              <f>'g29-41'!$B$2:$B$237</f>
              <numCache>
                <formatCode>0.00%</formatCode>
                <ptCount val="235"/>
                <pt idx="0">
                  <v>0.1451694988987826</v>
                </pt>
                <pt idx="1">
                  <v>0.1334677983500155</v>
                </pt>
                <pt idx="2">
                  <v>0.1329433707715701</v>
                </pt>
                <pt idx="3">
                  <v>0.1150925072120124</v>
                </pt>
                <pt idx="4">
                  <v>0.110172849846154</v>
                </pt>
                <pt idx="5">
                  <v>0.1173087664680334</v>
                </pt>
                <pt idx="6">
                  <v>0.1217634147943457</v>
                </pt>
                <pt idx="7">
                  <v>0.1128910379694901</v>
                </pt>
                <pt idx="8">
                  <v>0.1152819835307431</v>
                </pt>
                <pt idx="9">
                  <v>0.1156992557468683</v>
                </pt>
                <pt idx="10">
                  <v>0.1108667990721734</v>
                </pt>
                <pt idx="11">
                  <v>0.1087563534832835</v>
                </pt>
                <pt idx="12">
                  <v>0.1063427801463448</v>
                </pt>
                <pt idx="13">
                  <v>0.1009900743420118</v>
                </pt>
                <pt idx="14">
                  <v>0.1016615917918302</v>
                </pt>
                <pt idx="15">
                  <v>0.09107424048360802</v>
                </pt>
                <pt idx="16">
                  <v>0.09506629533229355</v>
                </pt>
                <pt idx="17">
                  <v>0.09062434391497998</v>
                </pt>
                <pt idx="18">
                  <v>0.09560066263424277</v>
                </pt>
                <pt idx="19">
                  <v>0.09853796174996937</v>
                </pt>
                <pt idx="20">
                  <v>0.1045282525070977</v>
                </pt>
                <pt idx="21">
                  <v>0.1035161722642554</v>
                </pt>
                <pt idx="22">
                  <v>0.0940249872738031</v>
                </pt>
                <pt idx="23">
                  <v>0.09862059591196426</v>
                </pt>
                <pt idx="24">
                  <v>0.09539549027968158</v>
                </pt>
                <pt idx="25">
                  <v>0.09538447998811805</v>
                </pt>
                <pt idx="26">
                  <v>0.09465723859163805</v>
                </pt>
                <pt idx="27">
                  <v>0.09259089250617775</v>
                </pt>
                <pt idx="28">
                  <v>0.08977799281279902</v>
                </pt>
                <pt idx="29">
                  <v>0.08997689941120446</v>
                </pt>
                <pt idx="30">
                  <v>0.0972798119468774</v>
                </pt>
                <pt idx="31">
                  <v>0.09324602644654589</v>
                </pt>
                <pt idx="32">
                  <v>0.08901133364937008</v>
                </pt>
                <pt idx="33">
                  <v>0.08639817031707381</v>
                </pt>
                <pt idx="34">
                  <v>0.08218587604987404</v>
                </pt>
                <pt idx="35">
                  <v>0.09050151902223691</v>
                </pt>
                <pt idx="36">
                  <v>0.07774002444882222</v>
                </pt>
                <pt idx="37">
                  <v>0.0851576281750549</v>
                </pt>
                <pt idx="38">
                  <v>0.0851028245102507</v>
                </pt>
                <pt idx="39">
                  <v>0.09243278389035348</v>
                </pt>
                <pt idx="40">
                  <v>0.09212694224222134</v>
                </pt>
                <pt idx="41">
                  <v>0.08508627801917579</v>
                </pt>
                <pt idx="42">
                  <v>0.0849616489018063</v>
                </pt>
                <pt idx="43">
                  <v>0.09450355558277984</v>
                </pt>
                <pt idx="44">
                  <v>0.08344820764964683</v>
                </pt>
                <pt idx="45">
                  <v>0.08593906230743809</v>
                </pt>
                <pt idx="46">
                  <v>0.0879124685415219</v>
                </pt>
                <pt idx="47">
                  <v>0.08499609645634937</v>
                </pt>
                <pt idx="48">
                  <v>0.08134864578373513</v>
                </pt>
                <pt idx="49">
                  <v>0.08041469531796785</v>
                </pt>
                <pt idx="50">
                  <v>0.08532160940574451</v>
                </pt>
                <pt idx="51">
                  <v>0.08378933554260892</v>
                </pt>
                <pt idx="52">
                  <v>0.0943303625262939</v>
                </pt>
                <pt idx="53">
                  <v>0.09180872485149028</v>
                </pt>
                <pt idx="54">
                  <v>0.09830912587065621</v>
                </pt>
                <pt idx="55">
                  <v>0.09981744793290204</v>
                </pt>
                <pt idx="56">
                  <v>0.09947949434349029</v>
                </pt>
                <pt idx="57">
                  <v>0.09725872675685721</v>
                </pt>
                <pt idx="58">
                  <v>0.09283960176778733</v>
                </pt>
                <pt idx="59">
                  <v>0.09472993194746804</v>
                </pt>
                <pt idx="60">
                  <v>0.0968203600800846</v>
                </pt>
                <pt idx="61">
                  <v>0.09568755568196857</v>
                </pt>
                <pt idx="62">
                  <v>0.09366629355663042</v>
                </pt>
                <pt idx="63">
                  <v>0.09063523782118943</v>
                </pt>
                <pt idx="64">
                  <v>0.09224422423248929</v>
                </pt>
                <pt idx="65">
                  <v>0.09936587582388284</v>
                </pt>
                <pt idx="66">
                  <v>0.09581691827586253</v>
                </pt>
                <pt idx="67">
                  <v>0.09279305968965706</v>
                </pt>
                <pt idx="68">
                  <v>0.09528366795466603</v>
                </pt>
                <pt idx="69">
                  <v>0.09196240801353128</v>
                </pt>
                <pt idx="70">
                  <v>0.09957864243375125</v>
                </pt>
                <pt idx="71">
                  <v>0.09699614895194347</v>
                </pt>
                <pt idx="72">
                  <v>0.09487776371116868</v>
                </pt>
                <pt idx="73">
                  <v>0.09356695245177227</v>
                </pt>
                <pt idx="74">
                  <v>0.09804376694746908</v>
                </pt>
                <pt idx="75">
                  <v>0.09201074564097433</v>
                </pt>
                <pt idx="76">
                  <v>0.0853875281211911</v>
                </pt>
                <pt idx="77">
                  <v>0.08939517329268515</v>
                </pt>
                <pt idx="78">
                  <v>0.08536688971101586</v>
                </pt>
                <pt idx="79">
                  <v>0.0843354913575361</v>
                </pt>
                <pt idx="80">
                  <v>0.08881164324313545</v>
                </pt>
                <pt idx="81">
                  <v>0.08839355925497072</v>
                </pt>
                <pt idx="82">
                  <v>0.08227006276502941</v>
                </pt>
                <pt idx="83">
                  <v>0.06359438070815382</v>
                </pt>
                <pt idx="84">
                  <v>0.07921088911602886</v>
                </pt>
                <pt idx="85">
                  <v>0.0643507867219314</v>
                </pt>
                <pt idx="86">
                  <v>0.05690040175835143</v>
                </pt>
                <pt idx="87">
                  <v>0.05809754255233635</v>
                </pt>
                <pt idx="88">
                  <v>0.05410391198252645</v>
                </pt>
                <pt idx="89">
                  <v>0.05360090267814854</v>
                </pt>
                <pt idx="90">
                  <v>0.06613199367097855</v>
                </pt>
                <pt idx="91">
                  <v>0.06211671449354922</v>
                </pt>
                <pt idx="92">
                  <v>0.05950424761341677</v>
                </pt>
                <pt idx="93">
                  <v>0.05458744309075897</v>
                </pt>
                <pt idx="94">
                  <v>0.05256795909809758</v>
                </pt>
                <pt idx="95">
                  <v>0.04855664913052143</v>
                </pt>
                <pt idx="96">
                  <v>0.04310471929121917</v>
                </pt>
                <pt idx="97">
                  <v>0.0485044762982611</v>
                </pt>
                <pt idx="98">
                  <v>0.04404986651176568</v>
                </pt>
                <pt idx="99">
                  <v>0.04293990195224084</v>
                </pt>
                <pt idx="100">
                  <v>0.05395237107017686</v>
                </pt>
                <pt idx="101">
                  <v>0.05680533052018211</v>
                </pt>
                <pt idx="102">
                  <v>0.05789296381002645</v>
                </pt>
                <pt idx="103">
                  <v>0.04786236458130511</v>
                </pt>
                <pt idx="104">
                  <v>0.04494352608776686</v>
                </pt>
                <pt idx="105">
                  <v>0.04724073680005542</v>
                </pt>
                <pt idx="106">
                  <v>0.05183188993131721</v>
                </pt>
                <pt idx="107">
                  <v>0.06485347198599117</v>
                </pt>
                <pt idx="108">
                  <v>0.05802716324074081</v>
                </pt>
                <pt idx="109">
                  <v>0.05981395835017672</v>
                </pt>
                <pt idx="110">
                  <v>0.05840213810408684</v>
                </pt>
                <pt idx="111">
                  <v>0.06238231642204339</v>
                </pt>
                <pt idx="112">
                  <v>0.06427392450580749</v>
                </pt>
                <pt idx="113">
                  <v>0.06075663554561828</v>
                </pt>
                <pt idx="114">
                  <v>0.06426296537680315</v>
                </pt>
                <pt idx="115">
                  <v>0.07025381843925904</v>
                </pt>
                <pt idx="116">
                  <v>0.06771930444180568</v>
                </pt>
                <pt idx="117">
                  <v>0.0652071835594169</v>
                </pt>
                <pt idx="118">
                  <v>0.06169401698893212</v>
                </pt>
                <pt idx="119">
                  <v>0.07019410046478991</v>
                </pt>
                <pt idx="120">
                  <v>0.0611703737107005</v>
                </pt>
                <pt idx="121">
                  <v>0.07075280149889895</v>
                </pt>
                <pt idx="122">
                  <v>0.03838896666014452</v>
                </pt>
                <pt idx="123">
                  <v>0.06011826961928662</v>
                </pt>
                <pt idx="124">
                  <v>0.06771732321571888</v>
                </pt>
                <pt idx="125">
                  <v>0.06560115315200604</v>
                </pt>
                <pt idx="126">
                  <v>0.07308410345057598</v>
                </pt>
                <pt idx="127">
                  <v>0.06876384672813013</v>
                </pt>
                <pt idx="128">
                  <v>0.06995966540257087</v>
                </pt>
                <pt idx="129">
                  <v>0.06554256987726187</v>
                </pt>
                <pt idx="130">
                  <v>0.06504356290171959</v>
                </pt>
                <pt idx="131">
                  <v>0.06963050339531623</v>
                </pt>
                <pt idx="132">
                  <v>0.06801457459672089</v>
                </pt>
                <pt idx="133">
                  <v>0.06550239016907305</v>
                </pt>
                <pt idx="134">
                  <v>0.07349629554452802</v>
                </pt>
                <pt idx="135">
                  <v>0.06988575074978948</v>
                </pt>
                <pt idx="136">
                  <v>0.05943771980959861</v>
                </pt>
                <pt idx="137">
                  <v>0.05793166650775045</v>
                </pt>
                <pt idx="138">
                  <v>0.05451114513151806</v>
                </pt>
                <pt idx="139">
                  <v>0.06138725125722205</v>
                </pt>
                <pt idx="140">
                  <v>0.05937978608794564</v>
                </pt>
                <pt idx="141">
                  <v>0.06578035956342665</v>
                </pt>
                <pt idx="142">
                  <v>0.07337014150926863</v>
                </pt>
                <pt idx="143">
                  <v>0.0715590451972532</v>
                </pt>
                <pt idx="144">
                  <v>0.07033286949740086</v>
                </pt>
                <pt idx="145">
                  <v>0.06632314867216715</v>
                </pt>
                <pt idx="146">
                  <v>0.07632454021878116</v>
                </pt>
                <pt idx="147">
                  <v>0.07031311679243685</v>
                </pt>
                <pt idx="148">
                  <v>0.0723085486339306</v>
                </pt>
                <pt idx="149">
                  <v>0.07277760690192131</v>
                </pt>
                <pt idx="150">
                  <v>0.05745803982831443</v>
                </pt>
                <pt idx="151">
                  <v>0.06324497874651203</v>
                </pt>
                <pt idx="152">
                  <v>0.06123205868378601</v>
                </pt>
                <pt idx="153">
                  <v>0.06322215144781335</v>
                </pt>
                <pt idx="154">
                  <v>0.05967532997598801</v>
                </pt>
                <pt idx="155">
                  <v>0.05616270902805387</v>
                </pt>
                <pt idx="156">
                  <v>0.04964896336986196</v>
                </pt>
                <pt idx="157">
                  <v>0.05263682177017298</v>
                </pt>
                <pt idx="158">
                  <v>0.06010909452428814</v>
                </pt>
                <pt idx="159">
                  <v>0.05409657035315751</v>
                </pt>
                <pt idx="160">
                  <v>0.05658709564784459</v>
                </pt>
                <pt idx="161">
                  <v>0.05657827923595632</v>
                </pt>
                <pt idx="162">
                  <v>0.04956782091155598</v>
                </pt>
                <pt idx="163">
                  <v>0.04653856632872388</v>
                </pt>
                <pt idx="164">
                  <v>0.0520291601866299</v>
                </pt>
                <pt idx="165">
                  <v>0.04201893950789837</v>
                </pt>
                <pt idx="166">
                  <v>0.03990949583688058</v>
                </pt>
                <pt idx="167">
                  <v>0.03897144610049963</v>
                </pt>
                <pt idx="168">
                  <v>0.03306185670775913</v>
                </pt>
                <pt idx="169">
                  <v>0.03215211004460955</v>
                </pt>
                <pt idx="170">
                  <v>0.03144254818967784</v>
                </pt>
                <pt idx="171">
                  <v>0.0295326681584227</v>
                </pt>
                <pt idx="172">
                  <v>0.03290324868997263</v>
                </pt>
                <pt idx="173">
                  <v>0.03289094071175958</v>
                </pt>
                <pt idx="174">
                  <v>0.021883926197377</v>
                </pt>
                <pt idx="175">
                  <v>0.02377245928833399</v>
                </pt>
                <pt idx="176">
                  <v>0.02036298340665865</v>
                </pt>
                <pt idx="177">
                  <v>0.02233352155605955</v>
                </pt>
                <pt idx="178">
                  <v>0.0198249663680406</v>
                </pt>
                <pt idx="179">
                  <v>0.02281505274085982</v>
                </pt>
                <pt idx="180">
                  <v>0.02830159384573055</v>
                </pt>
                <pt idx="181">
                  <v>0.02779221895488559</v>
                </pt>
                <pt idx="182">
                  <v>0.02427492376356444</v>
                </pt>
                <pt idx="183">
                  <v>0.02086824154283817</v>
                </pt>
                <pt idx="184">
                  <v>0.02875498163271512</v>
                </pt>
                <pt idx="185">
                  <v>0.03824122891844028</v>
                </pt>
                <pt idx="186">
                  <v>0.03373558075373112</v>
                </pt>
                <pt idx="187">
                  <v>0.02939949953964333</v>
                </pt>
                <pt idx="188">
                  <v>0.02968633391434478</v>
                </pt>
                <pt idx="189">
                  <v>0.02917659821858665</v>
                </pt>
                <pt idx="190">
                  <v>0.02766535453875091</v>
                </pt>
                <pt idx="191">
                  <v>0.03165588128415098</v>
                </pt>
                <pt idx="192">
                  <v>0.0337236968393882</v>
                </pt>
                <pt idx="193">
                  <v>0.03301233599973974</v>
                </pt>
                <pt idx="194">
                  <v>0.03260271266272674</v>
                </pt>
                <pt idx="195">
                  <v>0.02360438493740696</v>
                </pt>
                <pt idx="196">
                  <v>0.02956446832229098</v>
                </pt>
                <pt idx="197">
                  <v>0.03804245280520085</v>
                </pt>
                <pt idx="198">
                  <v>0.04202737628873293</v>
                </pt>
                <pt idx="199">
                  <v>0.04551331293104055</v>
                </pt>
                <pt idx="200">
                  <v>0.0466982958208586</v>
                </pt>
                <pt idx="201">
                  <v>0.04246339720659509</v>
                </pt>
                <pt idx="202">
                  <v>0.03645925728907068</v>
                </pt>
                <pt idx="203">
                  <v>0.0384435320963411</v>
                </pt>
                <pt idx="204">
                  <v>0.04142083306441996</v>
                </pt>
                <pt idx="205">
                  <v>0.02942803336572447</v>
                </pt>
                <pt idx="206">
                  <v>0.03338958030307998</v>
                </pt>
                <pt idx="207">
                  <v>0.03537525299423655</v>
                </pt>
                <pt idx="208">
                  <v>0.03387247109668462</v>
                </pt>
                <pt idx="209">
                  <v>0.02887439057927516</v>
                </pt>
                <pt idx="210">
                  <v>0.02736464305398834</v>
                </pt>
                <pt idx="211">
                  <v>0.03830590999295352</v>
                </pt>
                <pt idx="212">
                  <v>0.03530251452744615</v>
                </pt>
                <pt idx="213">
                  <v>0.04128259528015688</v>
                </pt>
                <pt idx="214">
                  <v>0.03678138343555937</v>
                </pt>
                <pt idx="215">
                  <v>0.04276118053329447</v>
                </pt>
                <pt idx="216">
                  <v>0.04922796247046018</v>
                </pt>
                <pt idx="217">
                  <v>0.02626394613548733</v>
                </pt>
                <pt idx="218">
                  <v>0.03224710012953835</v>
                </pt>
                <pt idx="219">
                  <v>0.03433817416087498</v>
                </pt>
                <pt idx="220">
                  <v>0.028739041697879</v>
                </pt>
                <pt idx="221">
                  <v>0.03221233380640193</v>
                </pt>
                <pt idx="222">
                  <v>0.03219282754093039</v>
                </pt>
                <pt idx="223">
                  <v>0.03867027811966045</v>
                </pt>
                <pt idx="224">
                  <v>0.03816727343514797</v>
                </pt>
                <pt idx="225">
                  <v>0.0489405024630184</v>
                </pt>
                <pt idx="226">
                  <v>0.04312367882509788</v>
                </pt>
                <pt idx="227">
                  <v>0.04230966632761735</v>
                </pt>
                <pt idx="228">
                  <v>0.04709811366444844</v>
                </pt>
                <pt idx="229">
                  <v>0.04110491744847111</v>
                </pt>
                <pt idx="230">
                  <v>0.03516860666268523</v>
                </pt>
                <pt idx="231">
                  <v>0.0386563040849951</v>
                </pt>
                <pt idx="232">
                  <v>0.03304975358058737</v>
                </pt>
                <pt idx="233">
                  <v>0.03313737642048525</v>
                </pt>
                <pt idx="234">
                  <v>0.03003586303457201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3739648"/>
        <axId val="133741184"/>
      </lineChart>
      <catAx>
        <axId val="133739648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3741184"/>
        <crosses val="autoZero"/>
        <auto val="1"/>
        <lblAlgn val="ctr"/>
        <lblOffset val="100"/>
        <noMultiLvlLbl val="0"/>
      </catAx>
      <valAx>
        <axId val="133741184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3739648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6.xml><?xml version="1.0" encoding="utf-8"?>
<chartSpace xmlns="http://schemas.openxmlformats.org/drawingml/2006/chart">
  <pivotSource>
    <name>[Bonos en dolares.xlsm]g29-29!Tabla dinámica1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gd29-al29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5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6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7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8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9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1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2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3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4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25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'g29-29'!$B$1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'g29-29'!$A$2:$A$205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'g29-29'!$B$2:$B$205</f>
              <numCache>
                <formatCode>General</formatCode>
                <ptCount val="203"/>
                <pt idx="0">
                  <v>0.01966051599359153</v>
                </pt>
                <pt idx="1">
                  <v>0.02369278789050633</v>
                </pt>
                <pt idx="2">
                  <v>0.02167578168158213</v>
                </pt>
                <pt idx="3">
                  <v>-0.005040740229250107</v>
                </pt>
                <pt idx="4">
                  <v>0.001008120201071661</v>
                </pt>
                <pt idx="5">
                  <v>-0.004032146703858153</v>
                </pt>
                <pt idx="6">
                  <v>0.005040044186688797</v>
                </pt>
                <pt idx="7">
                  <v>-0.005039905001242684</v>
                </pt>
                <pt idx="8">
                  <v>0.002318292278802592</v>
                </pt>
                <pt idx="9">
                  <v>0.01572363515864472</v>
                </pt>
                <pt idx="10">
                  <v>0.02025762094102052</v>
                </pt>
                <pt idx="11">
                  <v>0.01511721014992962</v>
                </pt>
                <pt idx="12">
                  <v>0.02055883814677784</v>
                </pt>
                <pt idx="13">
                  <v>0.02086059802865903</v>
                </pt>
                <pt idx="14">
                  <v>0.01884456101601323</v>
                </pt>
                <pt idx="15">
                  <v>0.02619882395163292</v>
                </pt>
                <pt idx="16">
                  <v>0.02317524293286222</v>
                </pt>
                <pt idx="17">
                  <v>0.02277156659765361</v>
                </pt>
                <pt idx="18">
                  <v>0.03455943245183019</v>
                </pt>
                <pt idx="19">
                  <v>0.02992381373009079</v>
                </pt>
                <pt idx="20">
                  <v>0.02971902514421348</v>
                </pt>
                <pt idx="21">
                  <v>0.03525888717156106</v>
                </pt>
                <pt idx="22">
                  <v>0.01914001048767694</v>
                </pt>
                <pt idx="23">
                  <v>0.02719821162444114</v>
                </pt>
                <pt idx="24">
                  <v>0.01601539862571405</v>
                </pt>
                <pt idx="25">
                  <v>0.02820243942822448</v>
                </pt>
                <pt idx="26">
                  <v>0.03142470818731202</v>
                </pt>
                <pt idx="27">
                  <v>0.05942328918322298</v>
                </pt>
                <pt idx="28">
                  <v>0.05378162854225876</v>
                </pt>
                <pt idx="29">
                  <v>0.06485487253062572</v>
                </pt>
                <pt idx="30">
                  <v>0.02014070906331911</v>
                </pt>
                <pt idx="31">
                  <v>0.03826629145284993</v>
                </pt>
                <pt idx="32">
                  <v>0.01258724859988414</v>
                </pt>
                <pt idx="33">
                  <v>0.01611123372323991</v>
                </pt>
                <pt idx="34">
                  <v>0.01127693029157817</v>
                </pt>
                <pt idx="35">
                  <v>-0.0004027364007502809</v>
                </pt>
                <pt idx="36">
                  <v>0.005537472760875017</v>
                </pt>
                <pt idx="37">
                  <v>0.01006785458156345</v>
                </pt>
                <pt idx="38">
                  <v>0.001912839608329941</v>
                </pt>
                <pt idx="39">
                  <v>0.003020023167300989</v>
                </pt>
                <pt idx="40">
                  <v>0.01348906478391576</v>
                </pt>
                <pt idx="41">
                  <v>0.01409266409266419</v>
                </pt>
                <pt idx="42">
                  <v>0.02264829982625965</v>
                </pt>
                <pt idx="43">
                  <v>0.01258204180685013</v>
                </pt>
                <pt idx="44">
                  <v>0.01016544877981523</v>
                </pt>
                <pt idx="45">
                  <v>0.01660646335410582</v>
                </pt>
                <pt idx="46">
                  <v>0.01006424573303555</v>
                </pt>
                <pt idx="47">
                  <v>0.02214073012021622</v>
                </pt>
                <pt idx="48">
                  <v>0.01821528026689456</v>
                </pt>
                <pt idx="49">
                  <v>0.01670388443194665</v>
                </pt>
                <pt idx="50">
                  <v>0.01620030876109607</v>
                </pt>
                <pt idx="51">
                  <v>0.019117849758787</v>
                </pt>
                <pt idx="52">
                  <v>0.02143152497519024</v>
                </pt>
                <pt idx="53">
                  <v>0.01971939689627605</v>
                </pt>
                <pt idx="54">
                  <v>0.02374310915104738</v>
                </pt>
                <pt idx="55">
                  <v>0.02253521126760566</v>
                </pt>
                <pt idx="56">
                  <v>0.02213218675927459</v>
                </pt>
                <pt idx="57">
                  <v>0.01951602678940556</v>
                </pt>
                <pt idx="58">
                  <v>0.01810515873015872</v>
                </pt>
                <pt idx="59">
                  <v>0.01388023919093945</v>
                </pt>
                <pt idx="60">
                  <v>0.01780242491044359</v>
                </pt>
                <pt idx="61">
                  <v>0.02212547874245718</v>
                </pt>
                <pt idx="62">
                  <v>0.02162203118972827</v>
                </pt>
                <pt idx="63">
                  <v>0.01940900950544155</v>
                </pt>
                <pt idx="64">
                  <v>0.01910678862684589</v>
                </pt>
                <pt idx="65">
                  <v>0.01759787310246025</v>
                </pt>
                <pt idx="66">
                  <v>0.02181955922865014</v>
                </pt>
                <pt idx="67">
                  <v>0.01216633150601909</v>
                </pt>
                <pt idx="68">
                  <v>0.01739435843755166</v>
                </pt>
                <pt idx="69">
                  <v>0.01769355771614289</v>
                </pt>
                <pt idx="70">
                  <v>0.02442850060592711</v>
                </pt>
                <pt idx="71">
                  <v>0.02563414029579442</v>
                </pt>
                <pt idx="72">
                  <v>0.01758963485157239</v>
                </pt>
                <pt idx="73">
                  <v>0.01557896186148972</v>
                </pt>
                <pt idx="74">
                  <v>0.02361906597642915</v>
                </pt>
                <pt idx="75">
                  <v>0.0177891896357078</v>
                </pt>
                <pt idx="76">
                  <v>0.02160774271710997</v>
                </pt>
                <pt idx="77">
                  <v>0.02341482888686985</v>
                </pt>
                <pt idx="78">
                  <v>0.02070095259071636</v>
                </pt>
                <pt idx="79">
                  <v>0.01668089089557584</v>
                </pt>
                <pt idx="80">
                  <v>0.0143692875234005</v>
                </pt>
                <pt idx="81">
                  <v>0.01929249827942192</v>
                </pt>
                <pt idx="82">
                  <v>0.01908995815899578</v>
                </pt>
                <pt idx="83">
                  <v>0.02913650251864902</v>
                </pt>
                <pt idx="84">
                  <v>0.02913570052298375</v>
                </pt>
                <pt idx="85">
                  <v>0.03164652775866339</v>
                </pt>
                <pt idx="86">
                  <v>0.03516184080149731</v>
                </pt>
                <pt idx="87">
                  <v>0.03495802944819043</v>
                </pt>
                <pt idx="88">
                  <v>0.03314894319682954</v>
                </pt>
                <pt idx="89">
                  <v>0.03174175083248476</v>
                </pt>
                <pt idx="90">
                  <v>0.03565826407617367</v>
                </pt>
                <pt idx="91">
                  <v>0.03465285230743831</v>
                </pt>
                <pt idx="92">
                  <v>0.03233999229541573</v>
                </pt>
                <pt idx="93">
                  <v>0.02912527859560299</v>
                </pt>
                <pt idx="94">
                  <v>0.02661374642306846</v>
                </pt>
                <pt idx="95">
                  <v>0.03283945522080067</v>
                </pt>
                <pt idx="96">
                  <v>0.04057117702085516</v>
                </pt>
                <pt idx="97">
                  <v>0.03584830394233685</v>
                </pt>
                <pt idx="98">
                  <v>0.03343741403026135</v>
                </pt>
                <pt idx="99">
                  <v>0.03403895353635389</v>
                </pt>
                <pt idx="100">
                  <v>0.03464045994718307</v>
                </pt>
                <pt idx="101">
                  <v>0.04216983467664298</v>
                </pt>
                <pt idx="102">
                  <v>0.03724489795918368</v>
                </pt>
                <pt idx="103">
                  <v>0.03262603481943949</v>
                </pt>
                <pt idx="104">
                  <v>0.03674092409240931</v>
                </pt>
                <pt idx="105">
                  <v>0.04165635398619477</v>
                </pt>
                <pt idx="106">
                  <v>0.0412537124628754</v>
                </pt>
                <pt idx="107">
                  <v>0.03613364498831295</v>
                </pt>
                <pt idx="108">
                  <v>0.04095033822801514</v>
                </pt>
                <pt idx="109">
                  <v>0.0346261720790827</v>
                </pt>
                <pt idx="110">
                  <v>0.03321831179543583</v>
                </pt>
                <pt idx="111">
                  <v>0.03321739847680849</v>
                </pt>
                <pt idx="112">
                  <v>0.03261437369405035</v>
                </pt>
                <pt idx="113">
                  <v>0.02609078162373191</v>
                </pt>
                <pt idx="114">
                  <v>0.009934293726288013</v>
                </pt>
                <pt idx="115">
                  <v>0.02919839458998813</v>
                </pt>
                <pt idx="116">
                  <v>0.02056875034361422</v>
                </pt>
                <pt idx="117">
                  <v>0.02006652189449953</v>
                </pt>
                <pt idx="118">
                  <v>0.02257421660252884</v>
                </pt>
                <pt idx="119">
                  <v>0.02297490448310929</v>
                </pt>
                <pt idx="120">
                  <v>0.02227077836411617</v>
                </pt>
                <pt idx="121">
                  <v>0.03350556548028039</v>
                </pt>
                <pt idx="122">
                  <v>0.03019430550211621</v>
                </pt>
                <pt idx="123">
                  <v>0.03079533899469589</v>
                </pt>
                <pt idx="124">
                  <v>0.02608002638232387</v>
                </pt>
                <pt idx="125">
                  <v>0.02457338352889454</v>
                </pt>
                <pt idx="126">
                  <v>0.02758161134315235</v>
                </pt>
                <pt idx="127">
                  <v>0.02417019288893779</v>
                </pt>
                <pt idx="128">
                  <v>0.02607501030361314</v>
                </pt>
                <pt idx="129">
                  <v>0.01935408538930711</v>
                </pt>
                <pt idx="130">
                  <v>0.02306382043462735</v>
                </pt>
                <pt idx="131">
                  <v>0.0285782967032967</v>
                </pt>
                <pt idx="132">
                  <v>0.02686993544842747</v>
                </pt>
                <pt idx="133">
                  <v>0.0280722957754217</v>
                </pt>
                <pt idx="134">
                  <v>0.02115389897547176</v>
                </pt>
                <pt idx="135">
                  <v>0.01634118874972529</v>
                </pt>
                <pt idx="136">
                  <v>0.02155373671345001</v>
                </pt>
                <pt idx="137">
                  <v>0.02355679446336373</v>
                </pt>
                <pt idx="138">
                  <v>0.03508362398044651</v>
                </pt>
                <pt idx="139">
                  <v>0.02836683693085085</v>
                </pt>
                <pt idx="140">
                  <v>0.02906769188521213</v>
                </pt>
                <pt idx="141">
                  <v>0.02716251098418271</v>
                </pt>
                <pt idx="142">
                  <v>0.03116916993876823</v>
                </pt>
                <pt idx="143">
                  <v>0.03207029104887432</v>
                </pt>
                <pt idx="144">
                  <v>0.02605639603525439</v>
                </pt>
                <pt idx="145">
                  <v>0.03206853000933496</v>
                </pt>
                <pt idx="146">
                  <v>0.03206764956208991</v>
                </pt>
                <pt idx="147">
                  <v>0.02665403832427382</v>
                </pt>
                <pt idx="148">
                  <v>0.02424849699398801</v>
                </pt>
                <pt idx="149">
                  <v>0.02003953003184361</v>
                </pt>
                <pt idx="150">
                  <v>0.02905652090367572</v>
                </pt>
                <pt idx="151">
                  <v>0.02154131210540761</v>
                </pt>
                <pt idx="152">
                  <v>0.02795130788021849</v>
                </pt>
                <pt idx="153">
                  <v>-0.001402536092660667</v>
                </pt>
                <pt idx="154">
                  <v>0.02153835597639631</v>
                </pt>
                <pt idx="155">
                  <v>0.02664672302118787</v>
                </pt>
                <pt idx="156">
                  <v>0.02504322529297143</v>
                </pt>
                <pt idx="157">
                  <v>0.03105104281009885</v>
                </pt>
                <pt idx="158">
                  <v>0.02834581926950408</v>
                </pt>
                <pt idx="159">
                  <v>0.02884583722078915</v>
                </pt>
                <pt idx="160">
                  <v>0.02263534835222125</v>
                </pt>
                <pt idx="161">
                  <v>0.02083196136538251</v>
                </pt>
                <pt idx="162">
                  <v>0.02653853540757817</v>
                </pt>
                <pt idx="163">
                  <v>0.02253210052677784</v>
                </pt>
                <pt idx="164">
                  <v>0.02653707920656256</v>
                </pt>
                <pt idx="165">
                  <v>0.03014128943758571</v>
                </pt>
                <pt idx="166">
                  <v>0.03374530191215602</v>
                </pt>
                <pt idx="167">
                  <v>0.02833415624314239</v>
                </pt>
                <pt idx="168">
                  <v>0.02903420467948542</v>
                </pt>
                <pt idx="169">
                  <v>0.02372730264962425</v>
                </pt>
                <pt idx="170">
                  <v>0.02903101944543485</v>
                </pt>
                <pt idx="171">
                  <v>0.02953074433656955</v>
                </pt>
                <pt idx="172">
                  <v>0.03553602281765073</v>
                </pt>
                <pt idx="173">
                  <v>0.03603554190434394</v>
                </pt>
                <pt idx="174">
                  <v>0.03683532154120389</v>
                </pt>
                <pt idx="175">
                  <v>0.04183667873203906</v>
                </pt>
                <pt idx="176">
                  <v>0.0375318763881653</v>
                </pt>
                <pt idx="177">
                  <v>0.04703866191390182</v>
                </pt>
                <pt idx="178">
                  <v>0.04503578185407586</v>
                </pt>
                <pt idx="179">
                  <v>0.05003838561087959</v>
                </pt>
                <pt idx="180">
                  <v>0.05403701165181629</v>
                </pt>
                <pt idx="181">
                  <v>0.04302829257594032</v>
                </pt>
                <pt idx="182">
                  <v>0.04012528442580254</v>
                </pt>
                <pt idx="183">
                  <v>0.03782279730248367</v>
                </pt>
                <pt idx="184">
                  <v>0.03992296937964313</v>
                </pt>
                <pt idx="185">
                  <v>0.03551654195104564</v>
                </pt>
                <pt idx="186">
                  <v>0.03051337572634583</v>
                </pt>
                <pt idx="187">
                  <v>0.02541044264766351</v>
                </pt>
                <pt idx="188">
                  <v>0.02550978457490538</v>
                </pt>
                <pt idx="189">
                  <v>0.03260982761928249</v>
                </pt>
                <pt idx="190">
                  <v>0.02780761852562347</v>
                </pt>
                <pt idx="191">
                  <v>0.03190786769340381</v>
                </pt>
                <pt idx="192">
                  <v>0.03750822097994083</v>
                </pt>
                <pt idx="193">
                  <v>0.03200613816348347</v>
                </pt>
                <pt idx="194">
                  <v>0.03150345243314334</v>
                </pt>
                <pt idx="195">
                  <v>0.03500287694879034</v>
                </pt>
                <pt idx="196">
                  <v>0.03300180831826399</v>
                </pt>
                <pt idx="197">
                  <v>0.03500095893038169</v>
                </pt>
                <pt idx="198">
                  <v>0.03349724680163274</v>
                </pt>
                <pt idx="199">
                  <v>0.0325964277887355</v>
                </pt>
                <pt idx="200">
                  <v>0.0309957540063005</v>
                </pt>
                <pt idx="201">
                  <v>0.03129485564016876</v>
                </pt>
                <pt idx="202">
                  <v>0.03309365327197528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42400"/>
        <axId val="135152384"/>
      </lineChart>
      <catAx>
        <axId val="135142400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52384"/>
        <crosses val="autoZero"/>
        <auto val="1"/>
        <lblAlgn val="ctr"/>
        <lblOffset val="100"/>
        <noMultiLvlLbl val="0"/>
      </catAx>
      <valAx>
        <axId val="135152384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5142400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7.xml><?xml version="1.0" encoding="utf-8"?>
<chartSpace xmlns="http://schemas.openxmlformats.org/drawingml/2006/chart">
  <pivotSource>
    <name>[Bonos en dolares.xlsm]29-35!TablaDinámica3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34058182251562"/>
          <y val="0.1205501177889133"/>
          <w val="0.9258105834543512"/>
          <h val="0.7195710861182669"/>
        </manualLayout>
      </layout>
      <lineChart>
        <grouping val="standard"/>
        <varyColors val="0"/>
        <ser>
          <idx val="0"/>
          <order val="0"/>
          <tx>
            <strRef>
              <f>'29-35'!$B$1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1/8/2021</v>
                </pt>
                <pt idx="214">
                  <v>2/8/2021</v>
                </pt>
                <pt idx="215">
                  <v>3/8/2021</v>
                </pt>
                <pt idx="216">
                  <v>4/8/2021</v>
                </pt>
                <pt idx="217">
                  <v>5/8/2021</v>
                </pt>
                <pt idx="218">
                  <v>9/8/2021</v>
                </pt>
                <pt idx="219">
                  <v>10/8/2021</v>
                </pt>
                <pt idx="220">
                  <v>11/8/2021</v>
                </pt>
                <pt idx="221">
                  <v>12/8/2021</v>
                </pt>
                <pt idx="222">
                  <v>13/8/2021</v>
                </pt>
              </strCache>
            </strRef>
          </cat>
          <val>
            <numRef>
              <f>'29-35'!$B$2:$B$225</f>
              <numCache>
                <formatCode>General</formatCode>
                <ptCount val="223"/>
                <pt idx="0">
                  <v>0.07640894689607591</v>
                </pt>
                <pt idx="1">
                  <v>0.07226313258968697</v>
                </pt>
                <pt idx="2">
                  <v>0.07306875260238488</v>
                </pt>
                <pt idx="3">
                  <v>0.07113040110451108</v>
                </pt>
                <pt idx="4">
                  <v>0.07100684575989158</v>
                </pt>
                <pt idx="5">
                  <v>0.07500796244215102</v>
                </pt>
                <pt idx="6">
                  <v>0.08334136622674904</v>
                </pt>
                <pt idx="7">
                  <v>0.08190515026251094</v>
                </pt>
                <pt idx="8">
                  <v>0.06006965217070148</v>
                </pt>
                <pt idx="9">
                  <v>0.05267222842948338</v>
                </pt>
                <pt idx="10">
                  <v>0.05613083140332181</v>
                </pt>
                <pt idx="11">
                  <v>0.06420736739630645</v>
                </pt>
                <pt idx="12">
                  <v>0.05437691554281365</v>
                </pt>
                <pt idx="13">
                  <v>0.05769523263827414</v>
                </pt>
                <pt idx="14">
                  <v>0.05712911872938836</v>
                </pt>
                <pt idx="15">
                  <v>0.06199594266921837</v>
                </pt>
                <pt idx="16">
                  <v>0.0564734623962419</v>
                </pt>
                <pt idx="17">
                  <v>0.05647154130250553</v>
                </pt>
                <pt idx="18">
                  <v>0.05745326844415538</v>
                </pt>
                <pt idx="19">
                  <v>0.05936427019360146</v>
                </pt>
                <pt idx="20">
                  <v>0.06050840545240033</v>
                </pt>
                <pt idx="21">
                  <v>0.05815938766479389</v>
                </pt>
                <pt idx="22">
                  <v>0.06853583062349811</v>
                </pt>
                <pt idx="23">
                  <v>0.06920866776784812</v>
                </pt>
                <pt idx="24">
                  <v>0.07843376985627609</v>
                </pt>
                <pt idx="25">
                  <v>0.0592912384719263</v>
                </pt>
                <pt idx="26">
                  <v>0.06945721081580719</v>
                </pt>
                <pt idx="27">
                  <v>0.07370849785204431</v>
                </pt>
                <pt idx="28">
                  <v>0.08490549060363839</v>
                </pt>
                <pt idx="29">
                  <v>0.06616475063769278</v>
                </pt>
                <pt idx="30">
                  <v>0.08071757892021292</v>
                </pt>
                <pt idx="31">
                  <v>0.09479267293988974</v>
                </pt>
                <pt idx="32">
                  <v>0.107268755969904</v>
                </pt>
                <pt idx="33">
                  <v>0.1008183169021767</v>
                </pt>
                <pt idx="34">
                  <v>0.08920311629476363</v>
                </pt>
                <pt idx="35">
                  <v>0.09576300569904173</v>
                </pt>
                <pt idx="36">
                  <v>0.09575774800240122</v>
                </pt>
                <pt idx="37">
                  <v>0.09528173212473545</v>
                </pt>
                <pt idx="38">
                  <v>0.09886803743846817</v>
                </pt>
                <pt idx="39">
                  <v>0.08724122399974343</v>
                </pt>
                <pt idx="40">
                  <v>0.08319449650279886</v>
                </pt>
                <pt idx="41">
                  <v>0.07765842343577467</v>
                </pt>
                <pt idx="42">
                  <v>0.07660027160253402</v>
                </pt>
                <pt idx="43">
                  <v>0.08435307044580048</v>
                </pt>
                <pt idx="44">
                  <v>0.08011600732491653</v>
                </pt>
                <pt idx="45">
                  <v>0.07104390026172031</v>
                </pt>
                <pt idx="46">
                  <v>0.06249522097560817</v>
                </pt>
                <pt idx="47">
                  <v>0.05651252471414747</v>
                </pt>
                <pt idx="48">
                  <v>0.05689679195369707</v>
                </pt>
                <pt idx="49">
                  <v>0.06708759777778805</v>
                </pt>
                <pt idx="50">
                  <v>0.07232140801881115</v>
                </pt>
                <pt idx="51">
                  <v>0.07730415649691835</v>
                </pt>
                <pt idx="52">
                  <v>0.06977520442878876</v>
                </pt>
                <pt idx="53">
                  <v>0.0643980918940858</v>
                </pt>
                <pt idx="54">
                  <v>0.06727175641613659</v>
                </pt>
                <pt idx="55">
                  <v>0.0638535239457762</v>
                </pt>
                <pt idx="56">
                  <v>0.06344497132413379</v>
                </pt>
                <pt idx="57">
                  <v>0.06683503906427313</v>
                </pt>
                <pt idx="58">
                  <v>0.07018260958996614</v>
                </pt>
                <pt idx="59">
                  <v>0.06829225786979215</v>
                </pt>
                <pt idx="60">
                  <v>0.06536958057019437</v>
                </pt>
                <pt idx="61">
                  <v>0.06714865794833114</v>
                </pt>
                <pt idx="62">
                  <v>0.06862187732430353</v>
                </pt>
                <pt idx="63">
                  <v>0.06660021649986331</v>
                </pt>
                <pt idx="64">
                  <v>0.05928578874172957</v>
                </pt>
                <pt idx="65">
                  <v>0.05778327226135466</v>
                </pt>
                <pt idx="66">
                  <v>0.05417202147967309</v>
                </pt>
                <pt idx="67">
                  <v>0.06006994209890615</v>
                </pt>
                <pt idx="68">
                  <v>0.06175919848370792</v>
                </pt>
                <pt idx="69">
                  <v>0.05690232213548074</v>
                </pt>
                <pt idx="70">
                  <v>0.05949869056592655</v>
                </pt>
                <pt idx="71">
                  <v>0.06048887472005621</v>
                </pt>
                <pt idx="72">
                  <v>0.05448835706755328</v>
                </pt>
                <pt idx="73">
                  <v>0.05797545985871178</v>
                </pt>
                <pt idx="74">
                  <v>0.05937723846179388</v>
                </pt>
                <pt idx="75">
                  <v>0.06305738754004619</v>
                </pt>
                <pt idx="76">
                  <v>0.06032882488472391</v>
                </pt>
                <pt idx="77">
                  <v>0.05949457270607739</v>
                </pt>
                <pt idx="78">
                  <v>0.06329453390476653</v>
                </pt>
                <pt idx="79">
                  <v>0.06316684509009673</v>
                </pt>
                <pt idx="80">
                  <v>0.06014184948544948</v>
                </pt>
                <pt idx="81">
                  <v>0.06002551307954795</v>
                </pt>
                <pt idx="82">
                  <v>0.06019672513639901</v>
                </pt>
                <pt idx="83">
                  <v>0.05969063722992229</v>
                </pt>
                <pt idx="84">
                  <v>0.06037168450737773</v>
                </pt>
                <pt idx="85">
                  <v>0.06366086080512684</v>
                </pt>
                <pt idx="86">
                  <v>0.06125364984090886</v>
                </pt>
                <pt idx="87">
                  <v>0.05851807256744335</v>
                </pt>
                <pt idx="88">
                  <v>0.05960725474247264</v>
                </pt>
                <pt idx="89">
                  <v>0.05999723655124573</v>
                </pt>
                <pt idx="90">
                  <v>0.05707055766631763</v>
                </pt>
                <pt idx="91">
                  <v>0.06076673542899103</v>
                </pt>
                <pt idx="92">
                  <v>0.06134648060888548</v>
                </pt>
                <pt idx="93">
                  <v>0.06203967005983052</v>
                </pt>
                <pt idx="94">
                  <v>0.0585185514713108</v>
                </pt>
                <pt idx="95">
                  <v>0.05530259148594713</v>
                </pt>
                <pt idx="96">
                  <v>0.05519279917102998</v>
                </pt>
                <pt idx="97">
                  <v>0.05586649303107138</v>
                </pt>
                <pt idx="98">
                  <v>0.05805497750794802</v>
                </pt>
                <pt idx="99">
                  <v>0.05664236595968086</v>
                </pt>
                <pt idx="100">
                  <v>0.05442047745795769</v>
                </pt>
                <pt idx="101">
                  <v>0.05590805223977596</v>
                </pt>
                <pt idx="102">
                  <v>0.05925100772377284</v>
                </pt>
                <pt idx="103">
                  <v>0.06075100422673685</v>
                </pt>
                <pt idx="104">
                  <v>0.06182842676955963</v>
                </pt>
                <pt idx="105">
                  <v>0.06128971301301089</v>
                </pt>
                <pt idx="106">
                  <v>0.05705996879194652</v>
                </pt>
                <pt idx="107">
                  <v>0.05525665838856142</v>
                </pt>
                <pt idx="108">
                  <v>0.05144621240906783</v>
                </pt>
                <pt idx="109">
                  <v>0.05174117331894129</v>
                </pt>
                <pt idx="110">
                  <v>0.05301802582927401</v>
                </pt>
                <pt idx="111">
                  <v>0.05599442155675838</v>
                </pt>
                <pt idx="112">
                  <v>0.05768001880288942</v>
                </pt>
                <pt idx="113">
                  <v>0.05357814982733555</v>
                </pt>
                <pt idx="114">
                  <v>0.05976272030994573</v>
                </pt>
                <pt idx="115">
                  <v>0.05351396946240095</v>
                </pt>
                <pt idx="116">
                  <v>0.05838813892801259</v>
                </pt>
                <pt idx="117">
                  <v>0.05304059566046621</v>
                </pt>
                <pt idx="118">
                  <v>0.04792842393528096</v>
                </pt>
                <pt idx="119">
                  <v>0.05113716150738618</v>
                </pt>
                <pt idx="120">
                  <v>0.05634005976784284</v>
                </pt>
                <pt idx="121">
                  <v>0.05463509598794708</v>
                </pt>
                <pt idx="122">
                  <v>0.05283057176731126</v>
                </pt>
                <pt idx="123">
                  <v>0.05221800631748785</v>
                </pt>
                <pt idx="124">
                  <v>0.04941543622276939</v>
                </pt>
                <pt idx="125">
                  <v>0.04900241753760909</v>
                </pt>
                <pt idx="126">
                  <v>0.04608432478392943</v>
                </pt>
                <pt idx="127">
                  <v>0.04984574759901717</v>
                </pt>
                <pt idx="128">
                  <v>0.05394079712399241</v>
                </pt>
                <pt idx="129">
                  <v>0.05460622929270981</v>
                </pt>
                <pt idx="130">
                  <v>0.05198718844158373</v>
                </pt>
                <pt idx="131">
                  <v>0.05598455740901787</v>
                </pt>
                <pt idx="132">
                  <v>0.05644401945297456</v>
                </pt>
                <pt idx="133">
                  <v>0.05482871857142141</v>
                </pt>
                <pt idx="134">
                  <v>0.05511751369306661</v>
                </pt>
                <pt idx="135">
                  <v>0.05561084686844159</v>
                </pt>
                <pt idx="136">
                  <v>0.05509616527164596</v>
                </pt>
                <pt idx="137">
                  <v>0.05728383782866492</v>
                </pt>
                <pt idx="138">
                  <v>0.05627774590663159</v>
                </pt>
                <pt idx="139">
                  <v>0.05726845747180748</v>
                </pt>
                <pt idx="140">
                  <v>0.05395302185608875</v>
                </pt>
                <pt idx="141">
                  <v>0.05274581383114985</v>
                </pt>
                <pt idx="142">
                  <v>0.05471966712770049</v>
                </pt>
                <pt idx="143">
                  <v>0.05360949807737714</v>
                </pt>
                <pt idx="144">
                  <v>0.05520578724416858</v>
                </pt>
                <pt idx="145">
                  <v>0.05510055412521858</v>
                </pt>
                <pt idx="146">
                  <v>0.05118959786357991</v>
                </pt>
                <pt idx="147">
                  <v>0.05406856147320416</v>
                </pt>
                <pt idx="148">
                  <v>0.04996093712806959</v>
                </pt>
                <pt idx="149">
                  <v>0.05115683000057863</v>
                </pt>
                <pt idx="150">
                  <v>0.05114001165932985</v>
                </pt>
                <pt idx="151">
                  <v>0.04913133954863552</v>
                </pt>
                <pt idx="152">
                  <v>0.04830275589461358</v>
                </pt>
                <pt idx="153">
                  <v>0.04799335659648218</v>
                </pt>
                <pt idx="154">
                  <v>0.04858214016591766</v>
                </pt>
                <pt idx="155">
                  <v>0.05037263899755634</v>
                </pt>
                <pt idx="156">
                  <v>0.05005997795888489</v>
                </pt>
                <pt idx="157">
                  <v>0.05053480757477868</v>
                </pt>
                <pt idx="158">
                  <v>0.05032002820535225</v>
                </pt>
                <pt idx="159">
                  <v>0.05041567580905015</v>
                </pt>
                <pt idx="160">
                  <v>0.05300919348532057</v>
                </pt>
                <pt idx="161">
                  <v>0.05021275244199014</v>
                </pt>
                <pt idx="162">
                  <v>0.05199358369195839</v>
                </pt>
                <pt idx="163">
                  <v>0.05148354275340727</v>
                </pt>
                <pt idx="164">
                  <v>0.04596653377882431</v>
                </pt>
                <pt idx="165">
                  <v>0.04535534863134721</v>
                </pt>
                <pt idx="166">
                  <v>0.04724231182149036</v>
                </pt>
                <pt idx="167">
                  <v>0.0436054474119672</v>
                </pt>
                <pt idx="168">
                  <v>0.043399597416725</v>
                </pt>
                <pt idx="169">
                  <v>0.0417854249012829</v>
                </pt>
                <pt idx="170">
                  <v>0.04235756760663656</v>
                </pt>
                <pt idx="171">
                  <v>0.04175059058307334</v>
                </pt>
                <pt idx="172">
                  <v>0.04184580679506295</v>
                </pt>
                <pt idx="173">
                  <v>0.04963611623026204</v>
                </pt>
                <pt idx="174">
                  <v>0.04542500634404273</v>
                </pt>
                <pt idx="175">
                  <v>0.04399788958167045</v>
                </pt>
                <pt idx="176">
                  <v>0.04689319406336878</v>
                </pt>
                <pt idx="177">
                  <v>0.04588758395956988</v>
                </pt>
                <pt idx="178">
                  <v>0.04477927177455365</v>
                </pt>
                <pt idx="179">
                  <v>0.04777260846302472</v>
                </pt>
                <pt idx="180">
                  <v>0.04784308690178751</v>
                </pt>
                <pt idx="181">
                  <v>0.04993266530043289</v>
                </pt>
                <pt idx="182">
                  <v>0.05072186846456334</v>
                </pt>
                <pt idx="183">
                  <v>0.05201141633818263</v>
                </pt>
                <pt idx="184">
                  <v>0.05420140448827576</v>
                </pt>
                <pt idx="185">
                  <v>0.05266044736812331</v>
                </pt>
                <pt idx="186">
                  <v>0.05265081283483314</v>
                </pt>
                <pt idx="187">
                  <v>0.05223995915225477</v>
                </pt>
                <pt idx="188">
                  <v>0.05402832698313415</v>
                </pt>
                <pt idx="189">
                  <v>0.05250020872130695</v>
                </pt>
                <pt idx="190">
                  <v>0.05328987651673578</v>
                </pt>
                <pt idx="191">
                  <v>0.05068002934900429</v>
                </pt>
                <pt idx="192">
                  <v>0.04907088019634259</v>
                </pt>
                <pt idx="193">
                  <v>0.04756240194339567</v>
                </pt>
                <pt idx="194">
                  <v>0.04903557965538546</v>
                </pt>
                <pt idx="195">
                  <v>0.05222664488539075</v>
                </pt>
                <pt idx="196">
                  <v>0.04341736680768654</v>
                </pt>
                <pt idx="197">
                  <v>0.04040865848225766</v>
                </pt>
                <pt idx="198">
                  <v>0.03897385512432072</v>
                </pt>
                <pt idx="199">
                  <v>0.03296498371964279</v>
                </pt>
                <pt idx="200">
                  <v>0.0379557259121126</v>
                </pt>
                <pt idx="201">
                  <v>0.03644694667442433</v>
                </pt>
                <pt idx="202">
                  <v>0.03743803203329665</v>
                </pt>
                <pt idx="203">
                  <v>0.03651103392779548</v>
                </pt>
                <pt idx="204">
                  <v>0.0387010029876978</v>
                </pt>
                <pt idx="205">
                  <v>0.03929140675704651</v>
                </pt>
                <pt idx="206">
                  <v>0.0388823787043181</v>
                </pt>
                <pt idx="207">
                  <v>0.0364741207702805</v>
                </pt>
                <pt idx="208">
                  <v>0.03544697442551559</v>
                </pt>
                <pt idx="209">
                  <v>0.03583799632353418</v>
                </pt>
                <pt idx="210">
                  <v>0.03252953468437841</v>
                </pt>
                <pt idx="211">
                  <v>0.03342108164056939</v>
                </pt>
                <pt idx="212">
                  <v>0.03201254398084219</v>
                </pt>
                <pt idx="213">
                  <v>0.03129503415878587</v>
                </pt>
                <pt idx="214">
                  <v>0.02928686840497829</v>
                </pt>
                <pt idx="215">
                  <v>0.02977926936463687</v>
                </pt>
                <pt idx="216">
                  <v>0.03257100746924407</v>
                </pt>
                <pt idx="217">
                  <v>0.03476232726089534</v>
                </pt>
                <pt idx="218">
                  <v>0.03392819979099526</v>
                </pt>
                <pt idx="219">
                  <v>0.03561634210364722</v>
                </pt>
                <pt idx="220">
                  <v>0.03590626735380237</v>
                </pt>
                <pt idx="221">
                  <v>0.03189482867218424</v>
                </pt>
                <pt idx="222">
                  <v>0.02869353791970203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84463935"/>
        <axId val="484466015"/>
      </lineChart>
      <catAx>
        <axId val="484463935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84466015"/>
        <crosses val="autoZero"/>
        <auto val="1"/>
        <lblAlgn val="ctr"/>
        <lblOffset val="100"/>
        <noMultiLvlLbl val="0"/>
      </catAx>
      <valAx>
        <axId val="48446601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484463935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pivotSource>
    <name>[Bonos en dolares.xlsm]29-41!Tabla 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'29-41'!$B$1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'29-41'!$A$2:$A$205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'29-41'!$B$2:$B$205</f>
              <numCache>
                <formatCode>0.00%</formatCode>
                <ptCount val="203"/>
                <pt idx="0">
                  <v>0.08191456564397614</v>
                </pt>
                <pt idx="1">
                  <v>0.08677789589345825</v>
                </pt>
                <pt idx="2">
                  <v>0.08207788514770475</v>
                </pt>
                <pt idx="3">
                  <v>0.08864809877853108</v>
                </pt>
                <pt idx="4">
                  <v>0.08702297158520889</v>
                </pt>
                <pt idx="5">
                  <v>0.09142432258187932</v>
                </pt>
                <pt idx="6">
                  <v>0.09084882226185242</v>
                </pt>
                <pt idx="7">
                  <v>0.09391703874117652</v>
                </pt>
                <pt idx="8">
                  <v>0.08459384041115775</v>
                </pt>
                <pt idx="9">
                  <v>0.06768698608512436</v>
                </pt>
                <pt idx="10">
                  <v>0.07114543464757306</v>
                </pt>
                <pt idx="11">
                  <v>0.07281571041368284</v>
                </pt>
                <pt idx="12">
                  <v>0.07159354255931588</v>
                </pt>
                <pt idx="13">
                  <v>0.06770486519563246</v>
                </pt>
                <pt idx="14">
                  <v>0.05762959864163297</v>
                </pt>
                <pt idx="15">
                  <v>0.05699119501476535</v>
                </pt>
                <pt idx="16">
                  <v>0.05617317856632043</v>
                </pt>
                <pt idx="17">
                  <v>0.05847342663972382</v>
                </pt>
                <pt idx="18">
                  <v>0.06125683754666944</v>
                </pt>
                <pt idx="19">
                  <v>0.06436894922571024</v>
                </pt>
                <pt idx="20">
                  <v>0.06501255482288204</v>
                </pt>
                <pt idx="21">
                  <v>0.06997022775090028</v>
                </pt>
                <pt idx="22">
                  <v>0.08354955892986043</v>
                </pt>
                <pt idx="23">
                  <v>0.08792571823162681</v>
                </pt>
                <pt idx="24">
                  <v>0.0799351221016204</v>
                </pt>
                <pt idx="25">
                  <v>0.07170237449123129</v>
                </pt>
                <pt idx="26">
                  <v>0.07496213130981033</v>
                </pt>
                <pt idx="27">
                  <v>0.07771206267003294</v>
                </pt>
                <pt idx="28">
                  <v>0.09791703166231719</v>
                </pt>
                <pt idx="29">
                  <v>0.07417177049071466</v>
                </pt>
                <pt idx="30">
                  <v>0.09272806753184298</v>
                </pt>
                <pt idx="31">
                  <v>0.1069032074459327</v>
                </pt>
                <pt idx="32">
                  <v>0.1208805497501313</v>
                </pt>
                <pt idx="33">
                  <v>0.1168321370483302</v>
                </pt>
                <pt idx="34">
                  <v>0.1038155769204342</v>
                </pt>
                <pt idx="35">
                  <v>0.1105755862469043</v>
                </pt>
                <pt idx="36">
                  <v>0.1117712937071584</v>
                </pt>
                <pt idx="37">
                  <v>0.1116955602127823</v>
                </pt>
                <pt idx="38">
                  <v>0.1109781983611601</v>
                </pt>
                <pt idx="39">
                  <v>0.1122619603634422</v>
                </pt>
                <pt idx="40">
                  <v>0.1022101909629526</v>
                </pt>
                <pt idx="41">
                  <v>0.09677413497950921</v>
                </pt>
                <pt idx="42">
                  <v>0.08610805365702384</v>
                </pt>
                <pt idx="43">
                  <v>0.09376073833949466</v>
                </pt>
                <pt idx="44">
                  <v>0.09082462556219656</v>
                </pt>
                <pt idx="45">
                  <v>0.08505512843772439</v>
                </pt>
                <pt idx="46">
                  <v>0.08100999475057247</v>
                </pt>
                <pt idx="47">
                  <v>0.07292556521207733</v>
                </pt>
                <pt idx="48">
                  <v>0.07240906364808541</v>
                </pt>
                <pt idx="49">
                  <v>0.07889677820229613</v>
                </pt>
                <pt idx="50">
                  <v>0.0823376529888733</v>
                </pt>
                <pt idx="51">
                  <v>0.08541040274831074</v>
                </pt>
                <pt idx="52">
                  <v>0.08208464728906512</v>
                </pt>
                <pt idx="53">
                  <v>0.07430559037752704</v>
                </pt>
                <pt idx="54">
                  <v>0.07487748676091688</v>
                </pt>
                <pt idx="55">
                  <v>0.07286027901207592</v>
                </pt>
                <pt idx="56">
                  <v>0.07325229322884347</v>
                </pt>
                <pt idx="57">
                  <v>0.07514121180223249</v>
                </pt>
                <pt idx="58">
                  <v>0.07448573377601903</v>
                </pt>
                <pt idx="59">
                  <v>0.07589775362185958</v>
                </pt>
                <pt idx="60">
                  <v>0.07217447450076087</v>
                </pt>
                <pt idx="61">
                  <v>0.07515433320442022</v>
                </pt>
                <pt idx="62">
                  <v>0.07162399525681762</v>
                </pt>
                <pt idx="63">
                  <v>0.06960232414392853</v>
                </pt>
                <pt idx="64">
                  <v>0.06729138169022791</v>
                </pt>
                <pt idx="65">
                  <v>0.06458800294741379</v>
                </pt>
                <pt idx="66">
                  <v>0.06868195979358677</v>
                </pt>
                <pt idx="67">
                  <v>0.06557369294280313</v>
                </pt>
                <pt idx="68">
                  <v>0.06776326973750324</v>
                </pt>
                <pt idx="69">
                  <v>0.0674092667941078</v>
                </pt>
                <pt idx="70">
                  <v>0.06800428328442637</v>
                </pt>
                <pt idx="71">
                  <v>0.06649280194642693</v>
                </pt>
                <pt idx="72">
                  <v>0.0674966431676034</v>
                </pt>
                <pt idx="73">
                  <v>0.06938268704031658</v>
                </pt>
                <pt idx="74">
                  <v>0.07088448960635069</v>
                </pt>
                <pt idx="75">
                  <v>0.06565901801393903</v>
                </pt>
                <pt idx="76">
                  <v>0.06433131959032812</v>
                </pt>
                <pt idx="77">
                  <v>0.06449763965465205</v>
                </pt>
                <pt idx="78">
                  <v>0.06429514386563301</v>
                </pt>
                <pt idx="79">
                  <v>0.06466775488815929</v>
                </pt>
                <pt idx="80">
                  <v>0.06604540779456736</v>
                </pt>
                <pt idx="81">
                  <v>0.06602911112632259</v>
                </pt>
                <pt idx="82">
                  <v>0.06469937738361314</v>
                </pt>
                <pt idx="83">
                  <v>0.06519386000764488</v>
                </pt>
                <pt idx="84">
                  <v>0.06267302432850652</v>
                </pt>
                <pt idx="85">
                  <v>0.06666259811199282</v>
                </pt>
                <pt idx="86">
                  <v>0.06465560713140472</v>
                </pt>
                <pt idx="87">
                  <v>0.06452146489529986</v>
                </pt>
                <pt idx="88">
                  <v>0.06410978356002767</v>
                </pt>
                <pt idx="89">
                  <v>0.06109785093530257</v>
                </pt>
                <pt idx="90">
                  <v>0.05907166787129436</v>
                </pt>
                <pt idx="91">
                  <v>0.06216750777264629</v>
                </pt>
                <pt idx="92">
                  <v>0.06334756338655284</v>
                </pt>
                <pt idx="93">
                  <v>0.06454101496102743</v>
                </pt>
                <pt idx="94">
                  <v>0.06402149139812097</v>
                </pt>
                <pt idx="95">
                  <v>0.05940476901168862</v>
                </pt>
                <pt idx="96">
                  <v>0.05879469880302768</v>
                </pt>
                <pt idx="97">
                  <v>0.05996861433352568</v>
                </pt>
                <pt idx="98">
                  <v>0.05935564565939572</v>
                </pt>
                <pt idx="99">
                  <v>0.06124471441831214</v>
                </pt>
                <pt idx="100">
                  <v>0.05732194806634822</v>
                </pt>
                <pt idx="101">
                  <v>0.05740880775710827</v>
                </pt>
                <pt idx="102">
                  <v>0.0597512509927598</v>
                </pt>
                <pt idx="103">
                  <v>0.0622517288917292</v>
                </pt>
                <pt idx="104">
                  <v>0.05682602835936296</v>
                </pt>
                <pt idx="105">
                  <v>0.05638741296127431</v>
                </pt>
                <pt idx="106">
                  <v>0.05075703317809893</v>
                </pt>
                <pt idx="107">
                  <v>0.04925388313287815</v>
                </pt>
                <pt idx="108">
                  <v>0.04844483506467001</v>
                </pt>
                <pt idx="109">
                  <v>0.05074071763193316</v>
                </pt>
                <pt idx="110">
                  <v>0.05111717956210027</v>
                </pt>
                <pt idx="111">
                  <v>0.05559424476632696</v>
                </pt>
                <pt idx="112">
                  <v>0.05577918556092037</v>
                </pt>
                <pt idx="113">
                  <v>0.0561792811412975</v>
                </pt>
                <pt idx="114">
                  <v>0.05366008698186581</v>
                </pt>
                <pt idx="115">
                  <v>0.05001249452604073</v>
                </pt>
                <pt idx="116">
                  <v>0.04378203637831718</v>
                </pt>
                <pt idx="117">
                  <v>0.03683387986385189</v>
                </pt>
                <pt idx="118">
                  <v>0.0355233259498075</v>
                </pt>
                <pt idx="119">
                  <v>0.03112900749941716</v>
                </pt>
                <pt idx="120">
                  <v>0.03133012431403237</v>
                </pt>
                <pt idx="121">
                  <v>0.03262642819069816</v>
                </pt>
                <pt idx="122">
                  <v>0.031922408991433</v>
                </pt>
                <pt idx="123">
                  <v>0.02870890861872089</v>
                </pt>
                <pt idx="124">
                  <v>0.0285074167084351</v>
                </pt>
                <pt idx="125">
                  <v>0.02799457556920304</v>
                </pt>
                <pt idx="126">
                  <v>0.02097503778736909</v>
                </pt>
                <pt idx="127">
                  <v>0.01893452640228138</v>
                </pt>
                <pt idx="128">
                  <v>0.02242946599464796</v>
                </pt>
                <pt idx="129">
                  <v>0.02469578112245857</v>
                </pt>
                <pt idx="130">
                  <v>0.0198760815176135</v>
                </pt>
                <pt idx="131">
                  <v>0.02537407436688016</v>
                </pt>
                <pt idx="132">
                  <v>0.02993539507175463</v>
                </pt>
                <pt idx="133">
                  <v>0.02982066803460476</v>
                </pt>
                <pt idx="134">
                  <v>0.02670846560583334</v>
                </pt>
                <pt idx="135">
                  <v>0.02860233733804157</v>
                </pt>
                <pt idx="136">
                  <v>0.0256870000866054</v>
                </pt>
                <pt idx="137">
                  <v>0.02827509546795348</v>
                </pt>
                <pt idx="138">
                  <v>0.02976984800554466</v>
                </pt>
                <pt idx="139">
                  <v>0.02966032630988996</v>
                </pt>
                <pt idx="140">
                  <v>0.03074626646496459</v>
                </pt>
                <pt idx="141">
                  <v>0.03123962711990413</v>
                </pt>
                <pt idx="142">
                  <v>0.03121314648327517</v>
                </pt>
                <pt idx="143">
                  <v>0.03220363345693317</v>
                </pt>
                <pt idx="144">
                  <v>0.03470023951036388</v>
                </pt>
                <pt idx="145">
                  <v>0.03219443536746819</v>
                </pt>
                <pt idx="146">
                  <v>0.03818616887716914</v>
                </pt>
                <pt idx="147">
                  <v>0.04106526611753186</v>
                </pt>
                <pt idx="148">
                  <v>0.04095868656542889</v>
                </pt>
                <pt idx="149">
                  <v>0.04165448695708851</v>
                </pt>
                <pt idx="150">
                  <v>0.04113757956111419</v>
                </pt>
                <pt idx="151">
                  <v>0.03962906160529289</v>
                </pt>
                <pt idx="152">
                  <v>0.04280149361868046</v>
                </pt>
                <pt idx="153">
                  <v>0.03979150275280519</v>
                </pt>
                <pt idx="154">
                  <v>0.03857991364289032</v>
                </pt>
                <pt idx="155">
                  <v>0.04107060019453102</v>
                </pt>
                <pt idx="156">
                  <v>0.04055792785903461</v>
                </pt>
                <pt idx="157">
                  <v>0.04203306064047713</v>
                </pt>
                <pt idx="158">
                  <v>0.04041802745862605</v>
                </pt>
                <pt idx="159">
                  <v>0.04111382818178172</v>
                </pt>
                <pt idx="160">
                  <v>0.04290722152504062</v>
                </pt>
                <pt idx="161">
                  <v>0.04421160153633708</v>
                </pt>
                <pt idx="162">
                  <v>0.04309196798773807</v>
                </pt>
                <pt idx="163">
                  <v>0.04548247406994305</v>
                </pt>
                <pt idx="164">
                  <v>0.03896531096251049</v>
                </pt>
                <pt idx="165">
                  <v>0.04335500610694232</v>
                </pt>
                <pt idx="166">
                  <v>0.03614044883763345</v>
                </pt>
                <pt idx="167">
                  <v>0.03110356356645622</v>
                </pt>
                <pt idx="168">
                  <v>0.02889746182826503</v>
                </pt>
                <pt idx="169">
                  <v>0.03078384248189381</v>
                </pt>
                <pt idx="170">
                  <v>0.03235623181178721</v>
                </pt>
                <pt idx="171">
                  <v>0.02984904175137609</v>
                </pt>
                <pt idx="172">
                  <v>0.03024433674577592</v>
                </pt>
                <pt idx="173">
                  <v>0.03733459960492469</v>
                </pt>
                <pt idx="174">
                  <v>0.03472372365604931</v>
                </pt>
                <pt idx="175">
                  <v>0.02849619076536181</v>
                </pt>
                <pt idx="176">
                  <v>0.02879127228400186</v>
                </pt>
                <pt idx="177">
                  <v>0.02928587830487933</v>
                </pt>
                <pt idx="178">
                  <v>0.02527733493836098</v>
                </pt>
                <pt idx="179">
                  <v>0.02227016302305102</v>
                </pt>
                <pt idx="180">
                  <v>0.01874059525010502</v>
                </pt>
                <pt idx="181">
                  <v>0.01442974725237411</v>
                </pt>
                <pt idx="182">
                  <v>0.02311969432070948</v>
                </pt>
                <pt idx="183">
                  <v>0.02340926138130234</v>
                </pt>
                <pt idx="184">
                  <v>0.02329918206817022</v>
                </pt>
                <pt idx="185">
                  <v>0.02415878802494237</v>
                </pt>
                <pt idx="186">
                  <v>0.02564933330170804</v>
                </pt>
                <pt idx="187">
                  <v>0.02423852072219845</v>
                </pt>
                <pt idx="188">
                  <v>0.0271270371952676</v>
                </pt>
                <pt idx="189">
                  <v>0.02749926690500565</v>
                </pt>
                <pt idx="190">
                  <v>0.02628895182753405</v>
                </pt>
                <pt idx="191">
                  <v>0.02467922795444077</v>
                </pt>
                <pt idx="192">
                  <v>0.01907005825601549</v>
                </pt>
                <pt idx="193">
                  <v>0.01756168274807252</v>
                </pt>
                <pt idx="194">
                  <v>0.01503511389558054</v>
                </pt>
                <pt idx="195">
                  <v>0.01702628323783956</v>
                </pt>
                <pt idx="196">
                  <v>0.009017131189634375</v>
                </pt>
                <pt idx="197">
                  <v>0.004908536906498895</v>
                </pt>
                <pt idx="198">
                  <v>0.005474199298866889</v>
                </pt>
                <pt idx="199">
                  <v>0.0004654289190236249</v>
                </pt>
                <pt idx="200">
                  <v>0.001156356038309048</v>
                </pt>
                <pt idx="201">
                  <v>0.0001476925495090819</v>
                </pt>
                <pt idx="202">
                  <v>-0.003560985113552573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37216"/>
        <axId val="134538752"/>
      </lineChart>
      <catAx>
        <axId val="134537216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538752"/>
        <crosses val="autoZero"/>
        <auto val="1"/>
        <lblAlgn val="ctr"/>
        <lblOffset val="100"/>
        <noMultiLvlLbl val="0"/>
      </catAx>
      <valAx>
        <axId val="134538752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4537216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9.xml><?xml version="1.0" encoding="utf-8"?>
<chartSpace xmlns="http://schemas.openxmlformats.org/drawingml/2006/chart">
  <pivotSource>
    <name>[Bonos en dolares.xlsm]30-35!TablaDinámica4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'30-35'!$B$1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'30-35'!$A$2:$A$225</f>
              <strCache>
                <ptCount val="22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  <pt idx="203">
                  <v>19/7/2021</v>
                </pt>
                <pt idx="204">
                  <v>20/7/2021</v>
                </pt>
                <pt idx="205">
                  <v>21/7/2021</v>
                </pt>
                <pt idx="206">
                  <v>22/7/2021</v>
                </pt>
                <pt idx="207">
                  <v>23/7/2021</v>
                </pt>
                <pt idx="208">
                  <v>26/7/2021</v>
                </pt>
                <pt idx="209">
                  <v>27/7/2021</v>
                </pt>
                <pt idx="210">
                  <v>28/7/2021</v>
                </pt>
                <pt idx="211">
                  <v>29/7/2021</v>
                </pt>
                <pt idx="212">
                  <v>30/7/2021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13/8/2021</v>
                </pt>
                <pt idx="218">
                  <v>12/8/2021</v>
                </pt>
                <pt idx="219">
                  <v>11/8/2021</v>
                </pt>
                <pt idx="220">
                  <v>10/8/2021</v>
                </pt>
                <pt idx="221">
                  <v>9/8/2021</v>
                </pt>
                <pt idx="222">
                  <v>1/8/2021</v>
                </pt>
              </strCache>
            </strRef>
          </cat>
          <val>
            <numRef>
              <f>'30-35'!$B$2:$B$225</f>
              <numCache>
                <formatCode>General</formatCode>
                <ptCount val="223"/>
                <pt idx="0">
                  <v>0.07337488258565239</v>
                </pt>
                <pt idx="1">
                  <v>0.06536648577491488</v>
                </pt>
                <pt idx="2">
                  <v>0.06066149247182079</v>
                </pt>
                <pt idx="3">
                  <v>0.05155208172640163</v>
                </pt>
                <pt idx="4">
                  <v>0.0550554325245281</v>
                </pt>
                <pt idx="5">
                  <v>0.05885865708634286</v>
                </pt>
                <pt idx="6">
                  <v>0.06896849610914951</v>
                </pt>
                <pt idx="7">
                  <v>0.06806736804577129</v>
                </pt>
                <pt idx="8">
                  <v>0.04104047827994739</v>
                </pt>
                <pt idx="9">
                  <v>0.0370364022172478</v>
                </pt>
                <pt idx="10">
                  <v>0.03903796843505331</v>
                </pt>
                <pt idx="11">
                  <v>0.04774627464289027</v>
                </pt>
                <pt idx="12">
                  <v>0.03863731411842947</v>
                </pt>
                <pt idx="13">
                  <v>0.03903756697369731</v>
                </pt>
                <pt idx="14">
                  <v>0.04254079254079252</v>
                </pt>
                <pt idx="15">
                  <v>0.04904652701363965</v>
                </pt>
                <pt idx="16">
                  <v>0.04494247987824113</v>
                </pt>
                <pt idx="17">
                  <v>0.04704430542462934</v>
                </pt>
                <pt idx="18">
                  <v>0.04824527124767758</v>
                </pt>
                <pt idx="19">
                  <v>0.04734426364374911</v>
                </pt>
                <pt idx="20">
                  <v>0.05044647294939514</v>
                </pt>
                <pt idx="21">
                  <v>0.05074657562420304</v>
                </pt>
                <pt idx="22">
                  <v>0.06405857410714588</v>
                </pt>
                <pt idx="23">
                  <v>0.06525944867584849</v>
                </pt>
                <pt idx="24">
                  <v>0.07406671077031712</v>
                </pt>
                <pt idx="25">
                  <v>0.05344795672829739</v>
                </pt>
                <pt idx="26">
                  <v>0.05805188884585194</v>
                </pt>
                <pt idx="27">
                  <v>0.0510454514293549</v>
                </pt>
                <pt idx="28">
                  <v>0.04704172536599238</v>
                </pt>
                <pt idx="29">
                  <v>0.04033536250959741</v>
                </pt>
                <pt idx="30">
                  <v>0.04023513684896052</v>
                </pt>
                <pt idx="31">
                  <v>0.0380330835726968</v>
                </pt>
                <pt idx="32">
                  <v>0.0373323461766531</v>
                </pt>
                <pt idx="33">
                  <v>0.02952548089447055</v>
                </pt>
                <pt idx="34">
                  <v>0.0358305541369181</v>
                </pt>
                <pt idx="35">
                  <v>0.02882448106611096</v>
                </pt>
                <pt idx="36">
                  <v>0.02792362032267015</v>
                </pt>
                <pt idx="37">
                  <v>0.0174146712641472</v>
                </pt>
                <pt idx="38">
                  <v>0.02201847440489452</v>
                </pt>
                <pt idx="39">
                  <v>0.0110091240000274</v>
                </pt>
                <pt idx="40">
                  <v>0.01301073831484206</v>
                </pt>
                <pt idx="41">
                  <v>0.01901562928434336</v>
                </pt>
                <pt idx="42">
                  <v>0.0287235099961955</v>
                </pt>
                <pt idx="43">
                  <v>0.03072504301451179</v>
                </pt>
                <pt idx="44">
                  <v>0.03012424382636708</v>
                </pt>
                <pt idx="45">
                  <v>0.02982389997463719</v>
                </pt>
                <pt idx="46">
                  <v>0.02241788824644325</v>
                </pt>
                <pt idx="47">
                  <v>0.02542019686874503</v>
                </pt>
                <pt idx="48">
                  <v>0.02301820961102791</v>
                </pt>
                <pt idx="49">
                  <v>0.02672077265545481</v>
                </pt>
                <pt idx="50">
                  <v>0.02802168801880917</v>
                </pt>
                <pt idx="51">
                  <v>0.03292537057664291</v>
                </pt>
                <pt idx="52">
                  <v>0.02782134239964906</v>
                </pt>
                <pt idx="53">
                  <v>0.0262198444713293</v>
                </pt>
                <pt idx="54">
                  <v>0.03122352457330863</v>
                </pt>
                <pt idx="55">
                  <v>0.03052289216912679</v>
                </pt>
                <pt idx="56">
                  <v>0.03162360940702308</v>
                </pt>
                <pt idx="57">
                  <v>0.03302454221116385</v>
                </pt>
                <pt idx="58">
                  <v>0.04223066061661201</v>
                </pt>
                <pt idx="59">
                  <v>0.0416300820113164</v>
                </pt>
                <pt idx="60">
                  <v>0.04253058706604063</v>
                </pt>
                <pt idx="61">
                  <v>0.04733355495162667</v>
                </pt>
                <pt idx="62">
                  <v>0.04933480469098062</v>
                </pt>
                <pt idx="63">
                  <v>0.04683287924741686</v>
                </pt>
                <pt idx="64">
                  <v>0.03992789483063508</v>
                </pt>
                <pt idx="65">
                  <v>0.04042810584070433</v>
                </pt>
                <pt idx="66">
                  <v>0.03742563399588761</v>
                </pt>
                <pt idx="67">
                  <v>0.04212871100510279</v>
                </pt>
                <pt idx="68">
                  <v>0.04322931302732674</v>
                </pt>
                <pt idx="69">
                  <v>0.04152744793647856</v>
                </pt>
                <pt idx="70">
                  <v>0.04332848996600502</v>
                </pt>
                <pt idx="71">
                  <v>0.04442906147514297</v>
                </pt>
                <pt idx="72">
                  <v>0.04452836395786353</v>
                </pt>
                <pt idx="73">
                  <v>0.04612922570806849</v>
                </pt>
                <pt idx="74">
                  <v>0.04352742824245415</v>
                </pt>
                <pt idx="75">
                  <v>0.04442784347724771</v>
                </pt>
                <pt idx="76">
                  <v>0.04502806543804699</v>
                </pt>
                <pt idx="77">
                  <v>0.0404247809444831</v>
                </pt>
                <pt idx="78">
                  <v>0.04242586234074197</v>
                </pt>
                <pt idx="79">
                  <v>0.04582777916750902</v>
                </pt>
                <pt idx="80">
                  <v>0.04362629530127748</v>
                </pt>
                <pt idx="81">
                  <v>0.04442662554613208</v>
                </pt>
                <pt idx="82">
                  <v>0.04552681716627599</v>
                </pt>
                <pt idx="83">
                  <v>0.04392572362582198</v>
                </pt>
                <pt idx="84">
                  <v>0.04642702943494498</v>
                </pt>
                <pt idx="85">
                  <v>0.04992889720420374</v>
                </pt>
                <pt idx="86">
                  <v>0.04652676882589979</v>
                </pt>
                <pt idx="87">
                  <v>0.04392482053215002</v>
                </pt>
                <pt idx="88">
                  <v>0.04532545676338767</v>
                </pt>
                <pt idx="89">
                  <v>0.04432474292156235</v>
                </pt>
                <pt idx="90">
                  <v>0.04372425797874163</v>
                </pt>
                <pt idx="91">
                  <v>0.04512488049917929</v>
                </pt>
                <pt idx="92">
                  <v>0.04292322558096506</v>
                </pt>
                <pt idx="93">
                  <v>0.04172243295196393</v>
                </pt>
                <pt idx="94">
                  <v>0.03882073984731577</v>
                </pt>
                <pt idx="95">
                  <v>0.03541880107591355</v>
                </pt>
                <pt idx="96">
                  <v>0.03511852141197752</v>
                </pt>
                <pt idx="97">
                  <v>0.03541831563582537</v>
                </pt>
                <pt idx="98">
                  <v>0.03711906801439097</v>
                </pt>
                <pt idx="99">
                  <v>0.03561817502766829</v>
                </pt>
                <pt idx="100">
                  <v>0.03211627811356443</v>
                </pt>
                <pt idx="101">
                  <v>0.02901460666842565</v>
                </pt>
                <pt idx="102">
                  <v>0.03241576383035588</v>
                </pt>
                <pt idx="103">
                  <v>0.03741806831380906</v>
                </pt>
                <pt idx="104">
                  <v>0.03691770026725139</v>
                </pt>
                <pt idx="105">
                  <v>0.04101924533085727</v>
                </pt>
                <pt idx="106">
                  <v>0.03641696132445249</v>
                </pt>
                <pt idx="107">
                  <v>0.03581655902557684</v>
                </pt>
                <pt idx="108">
                  <v>0.03571639039833346</v>
                </pt>
                <pt idx="109">
                  <v>0.0378172249689071</v>
                </pt>
                <pt idx="110">
                  <v>0.03771679172234216</v>
                </pt>
                <pt idx="111">
                  <v>0.04081803262400169</v>
                </pt>
                <pt idx="112">
                  <v>0.04371916456528885</v>
                </pt>
                <pt idx="113">
                  <v>0.0382166216128248</v>
                </pt>
                <pt idx="114">
                  <v>0.04101769941824213</v>
                </pt>
                <pt idx="115">
                  <v>0.04051706712073927</v>
                </pt>
                <pt idx="116">
                  <v>0.04621931080794028</v>
                </pt>
                <pt idx="117">
                  <v>0.03711538000335751</v>
                </pt>
                <pt idx="118">
                  <v>0.0325133616554748</v>
                </pt>
                <pt idx="119">
                  <v>0.0389158595454997</v>
                </pt>
                <pt idx="120">
                  <v>0.04011593646791195</v>
                </pt>
                <pt idx="121">
                  <v>0.0411161930212241</v>
                </pt>
                <pt idx="122">
                  <v>0.04141616932638081</v>
                </pt>
                <pt idx="123">
                  <v>0.04221633714416878</v>
                </pt>
                <pt idx="124">
                  <v>0.0376144274516253</v>
                </pt>
                <pt idx="125">
                  <v>0.03661366743065048</v>
                </pt>
                <pt idx="126">
                  <v>0.03261206199553257</v>
                </pt>
                <pt idx="127">
                  <v>0.0382138721590714</v>
                </pt>
                <pt idx="128">
                  <v>0.04121482039774577</v>
                </pt>
                <pt idx="129">
                  <v>0.03861348827330097</v>
                </pt>
                <pt idx="130">
                  <v>0.03601245636333111</v>
                </pt>
                <pt idx="131">
                  <v>0.03561219595751969</v>
                </pt>
                <pt idx="132">
                  <v>0.04251383155478666</v>
                </pt>
                <pt idx="133">
                  <v>0.04131329948682111</v>
                </pt>
                <pt idx="134">
                  <v>0.04211341283353948</v>
                </pt>
                <pt idx="135">
                  <v>0.03991257519492447</v>
                </pt>
                <pt idx="136">
                  <v>0.03991243846541215</v>
                </pt>
                <pt idx="137">
                  <v>0.04051220915892456</v>
                </pt>
                <pt idx="138">
                  <v>0.03971183194993028</v>
                </pt>
                <pt idx="139">
                  <v>0.03851134238166037</v>
                </pt>
                <pt idx="140">
                  <v>0.03471010396862101</v>
                </pt>
                <pt idx="141">
                  <v>0.03200920812836572</v>
                </pt>
                <pt idx="142">
                  <v>0.03570990583004185</v>
                </pt>
                <pt idx="143">
                  <v>0.03400931762126608</v>
                </pt>
                <pt idx="144">
                  <v>0.03400920111948097</v>
                </pt>
                <pt idx="145">
                  <v>0.03210857694863695</v>
                </pt>
                <pt idx="146">
                  <v>0.02720717449464416</v>
                </pt>
                <pt idx="147">
                  <v>0.03370854257585826</v>
                </pt>
                <pt idx="148">
                  <v>0.03200800200050014</v>
                </pt>
                <pt idx="149">
                  <v>0.03150776903894109</v>
                </pt>
                <pt idx="150">
                  <v>0.03480846370179053</v>
                </pt>
                <pt idx="151">
                  <v>0.03160757715890794</v>
                </pt>
                <pt idx="152">
                  <v>0.03180729824994089</v>
                </pt>
                <pt idx="153">
                  <v>0.03110703104126278</v>
                </pt>
                <pt idx="154">
                  <v>0.03240721393460871</v>
                </pt>
                <pt idx="155">
                  <v>0.0321070371588294</v>
                </pt>
                <pt idx="156">
                  <v>0.02950636609953511</v>
                </pt>
                <pt idx="157">
                  <v>0.03000616565047609</v>
                </pt>
                <pt idx="158">
                  <v>0.02810567888717241</v>
                </pt>
                <pt idx="159">
                  <v>0.02790554288180525</v>
                </pt>
                <pt idx="160">
                  <v>0.03020589635648052</v>
                </pt>
                <pt idx="161">
                  <v>0.0264050639848738</v>
                </pt>
                <pt idx="162">
                  <v>0.02800508311440097</v>
                </pt>
                <pt idx="163">
                  <v>0.02800498718949956</v>
                </pt>
                <pt idx="164">
                  <v>0.02170379073057283</v>
                </pt>
                <pt idx="165">
                  <v>0.01980339099160822</v>
                </pt>
                <pt idx="166">
                  <v>0.02150360848224531</v>
                </pt>
                <pt idx="167">
                  <v>0.02000301415281752</v>
                </pt>
                <pt idx="168">
                  <v>0.01860273944450724</v>
                </pt>
                <pt idx="169">
                  <v>0.01850266134169981</v>
                </pt>
                <pt idx="170">
                  <v>0.01900253801021368</v>
                </pt>
                <pt idx="171">
                  <v>0.01890245990916628</v>
                </pt>
                <pt idx="172">
                  <v>0.02100266129612305</v>
                </pt>
                <pt idx="173">
                  <v>0.02780342781986817</v>
                </pt>
                <pt idx="174">
                  <v>0.02310276916753723</v>
                </pt>
                <pt idx="175">
                  <v>0.02700295922840862</v>
                </pt>
                <pt idx="176">
                  <v>0.02930311094671012</v>
                </pt>
                <pt idx="177">
                  <v>0.02910299003322259</v>
                </pt>
                <pt idx="178">
                  <v>0.02920290028804229</v>
                </pt>
                <pt idx="179">
                  <v>0.03150302083761453</v>
                </pt>
                <pt idx="180">
                  <v>0.03210274852298994</v>
                </pt>
                <pt idx="181">
                  <v>0.03330273721127769</v>
                </pt>
                <pt idx="182">
                  <v>0.03520277282114692</v>
                </pt>
                <pt idx="183">
                  <v>0.03390255430203643</v>
                </pt>
                <pt idx="184">
                  <v>0.03490251011202855</v>
                </pt>
                <pt idx="185">
                  <v>0.03300192134473579</v>
                </pt>
                <pt idx="186">
                  <v>0.03240177543975015</v>
                </pt>
                <pt idx="187">
                  <v>0.03050156686131134</v>
                </pt>
                <pt idx="188">
                  <v>0.02930140486187693</v>
                </pt>
                <pt idx="189">
                  <v>0.02850107367058352</v>
                </pt>
                <pt idx="190">
                  <v>0.02750094181307583</v>
                </pt>
                <pt idx="191">
                  <v>0.02630081064142387</v>
                </pt>
                <pt idx="192">
                  <v>0.02450067125126709</v>
                </pt>
                <pt idx="193">
                  <v>0.02310055378039888</v>
                </pt>
                <pt idx="194">
                  <v>0.0230003150728092</v>
                </pt>
                <pt idx="195">
                  <v>0.02690027637270254</v>
                </pt>
                <pt idx="196">
                  <v>0.02500017123404952</v>
                </pt>
                <pt idx="197">
                  <v>0.02360008082219456</v>
                </pt>
                <pt idx="198">
                  <v>0.02389975445457754</v>
                </pt>
                <pt idx="199">
                  <v>0.0199997260311503</v>
                </pt>
                <pt idx="200">
                  <v>0.02489957363743778</v>
                </pt>
                <pt idx="201">
                  <v>0.02569947192865901</v>
                </pt>
                <pt idx="202">
                  <v>0.02919930001678045</v>
                </pt>
                <pt idx="203">
                  <v>0.02899900688332596</v>
                </pt>
                <pt idx="204">
                  <v>0.03069884353671609</v>
                </pt>
                <pt idx="205">
                  <v>0.03059874251743083</v>
                </pt>
                <pt idx="206">
                  <v>0.02999866444302141</v>
                </pt>
                <pt idx="207">
                  <v>0.02939859047853866</v>
                </pt>
                <pt idx="208">
                  <v>0.02719841653054444</v>
                </pt>
                <pt idx="209">
                  <v>0.02669835421104172</v>
                </pt>
                <pt idx="210">
                  <v>0.02299850352203109</v>
                </pt>
                <pt idx="211">
                  <v>0.02409834942812134</v>
                </pt>
                <pt idx="212">
                  <v>0.02289835320062594</v>
                </pt>
                <pt idx="213">
                  <v>0.01889844670301072</v>
                </pt>
                <pt idx="214">
                  <v>0.01979830493964557</v>
                </pt>
                <pt idx="215">
                  <v>0.02169806798024826</v>
                </pt>
                <pt idx="216">
                  <v>0.02219794745006454</v>
                </pt>
                <pt idx="217">
                  <v>0.01869775883027713</v>
                </pt>
                <pt idx="218">
                  <v>0.01879781121376284</v>
                </pt>
                <pt idx="219">
                  <v>0.02499717497680054</v>
                </pt>
                <pt idx="220">
                  <v>0.02439732632040326</v>
                </pt>
                <pt idx="221">
                  <v>0.02399745232526679</v>
                </pt>
                <pt idx="222">
                  <v>0.02179828301195452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552686223"/>
        <axId val="552688303"/>
      </lineChart>
      <catAx>
        <axId val="552686223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52688303"/>
        <crosses val="autoZero"/>
        <auto val="1"/>
        <lblAlgn val="ctr"/>
        <lblOffset val="100"/>
        <noMultiLvlLbl val="0"/>
      </catAx>
      <valAx>
        <axId val="5526883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552686223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pivotSource>
    <name>[Bonos en dolares.xlsm]29-30!Tabla dinámica7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pPr>
              <a:defRPr/>
            </a:pPr>
            <a:r>
              <a:rPr lang="en-US"/>
              <a:t>29-30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995957639957202"/>
          <y val="0.1531344713581315"/>
          <w val="0.9465656988609605"/>
          <h val="0.696392125984252"/>
        </manualLayout>
      </layout>
      <lineChart>
        <grouping val="standard"/>
        <varyColors val="0"/>
        <ser>
          <idx val="0"/>
          <order val="0"/>
          <tx>
            <strRef>
              <f>'29-30'!$B$1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'29-30'!$A$2:$A$205</f>
              <strCache>
                <ptCount val="203"/>
                <pt idx="0">
                  <v>14/9/2020</v>
                </pt>
                <pt idx="1">
                  <v>15/9/2020</v>
                </pt>
                <pt idx="2">
                  <v>16/9/2020</v>
                </pt>
                <pt idx="3">
                  <v>17/9/2020</v>
                </pt>
                <pt idx="4">
                  <v>18/9/2020</v>
                </pt>
                <pt idx="5">
                  <v>21/9/2020</v>
                </pt>
                <pt idx="6">
                  <v>22/9/2020</v>
                </pt>
                <pt idx="7">
                  <v>23/9/2020</v>
                </pt>
                <pt idx="8">
                  <v>24/9/2020</v>
                </pt>
                <pt idx="9">
                  <v>25/9/2020</v>
                </pt>
                <pt idx="10">
                  <v>28/9/2020</v>
                </pt>
                <pt idx="11">
                  <v>29/9/2020</v>
                </pt>
                <pt idx="12">
                  <v>30/9/2020</v>
                </pt>
                <pt idx="13">
                  <v>1/10/2020</v>
                </pt>
                <pt idx="14">
                  <v>2/10/2020</v>
                </pt>
                <pt idx="15">
                  <v>5/10/2020</v>
                </pt>
                <pt idx="16">
                  <v>6/10/2020</v>
                </pt>
                <pt idx="17">
                  <v>7/10/2020</v>
                </pt>
                <pt idx="18">
                  <v>8/10/2020</v>
                </pt>
                <pt idx="19">
                  <v>9/10/2020</v>
                </pt>
                <pt idx="20">
                  <v>13/10/2020</v>
                </pt>
                <pt idx="21">
                  <v>14/10/2020</v>
                </pt>
                <pt idx="22">
                  <v>15/10/2020</v>
                </pt>
                <pt idx="23">
                  <v>16/10/2020</v>
                </pt>
                <pt idx="24">
                  <v>19/10/2020</v>
                </pt>
                <pt idx="25">
                  <v>20/10/2020</v>
                </pt>
                <pt idx="26">
                  <v>21/10/2020</v>
                </pt>
                <pt idx="27">
                  <v>22/10/2020</v>
                </pt>
                <pt idx="28">
                  <v>23/10/2020</v>
                </pt>
                <pt idx="29">
                  <v>26/10/2020</v>
                </pt>
                <pt idx="30">
                  <v>27/10/2020</v>
                </pt>
                <pt idx="31">
                  <v>28/10/2020</v>
                </pt>
                <pt idx="32">
                  <v>29/10/2020</v>
                </pt>
                <pt idx="33">
                  <v>30/10/2020</v>
                </pt>
                <pt idx="34">
                  <v>2/11/2020</v>
                </pt>
                <pt idx="35">
                  <v>3/11/2020</v>
                </pt>
                <pt idx="36">
                  <v>4/11/2020</v>
                </pt>
                <pt idx="37">
                  <v>5/11/2020</v>
                </pt>
                <pt idx="38">
                  <v>6/11/2020</v>
                </pt>
                <pt idx="39">
                  <v>9/11/2020</v>
                </pt>
                <pt idx="40">
                  <v>10/11/2020</v>
                </pt>
                <pt idx="41">
                  <v>11/11/2020</v>
                </pt>
                <pt idx="42">
                  <v>12/11/2020</v>
                </pt>
                <pt idx="43">
                  <v>13/11/2020</v>
                </pt>
                <pt idx="44">
                  <v>16/11/2020</v>
                </pt>
                <pt idx="45">
                  <v>17/11/2020</v>
                </pt>
                <pt idx="46">
                  <v>18/11/2020</v>
                </pt>
                <pt idx="47">
                  <v>19/11/2020</v>
                </pt>
                <pt idx="48">
                  <v>20/11/2020</v>
                </pt>
                <pt idx="49">
                  <v>24/11/2020</v>
                </pt>
                <pt idx="50">
                  <v>25/11/2020</v>
                </pt>
                <pt idx="51">
                  <v>26/11/2020</v>
                </pt>
                <pt idx="52">
                  <v>27/11/2020</v>
                </pt>
                <pt idx="53">
                  <v>30/11/2020</v>
                </pt>
                <pt idx="54">
                  <v>1/12/2020</v>
                </pt>
                <pt idx="55">
                  <v>2/12/2020</v>
                </pt>
                <pt idx="56">
                  <v>3/12/2020</v>
                </pt>
                <pt idx="57">
                  <v>4/12/2020</v>
                </pt>
                <pt idx="58">
                  <v>9/12/2020</v>
                </pt>
                <pt idx="59">
                  <v>10/12/2020</v>
                </pt>
                <pt idx="60">
                  <v>11/12/2020</v>
                </pt>
                <pt idx="61">
                  <v>14/12/2020</v>
                </pt>
                <pt idx="62">
                  <v>15/12/2020</v>
                </pt>
                <pt idx="63">
                  <v>16/12/2020</v>
                </pt>
                <pt idx="64">
                  <v>17/12/2020</v>
                </pt>
                <pt idx="65">
                  <v>18/12/2020</v>
                </pt>
                <pt idx="66">
                  <v>21/12/2020</v>
                </pt>
                <pt idx="67">
                  <v>22/12/2020</v>
                </pt>
                <pt idx="68">
                  <v>23/12/2020</v>
                </pt>
                <pt idx="69">
                  <v>28/12/2020</v>
                </pt>
                <pt idx="70">
                  <v>29/12/2020</v>
                </pt>
                <pt idx="71">
                  <v>30/12/2020</v>
                </pt>
                <pt idx="72">
                  <v>4/1/2021</v>
                </pt>
                <pt idx="73">
                  <v>5/1/2021</v>
                </pt>
                <pt idx="74">
                  <v>6/1/2021</v>
                </pt>
                <pt idx="75">
                  <v>7/1/2021</v>
                </pt>
                <pt idx="76">
                  <v>8/1/2021</v>
                </pt>
                <pt idx="77">
                  <v>11/1/2021</v>
                </pt>
                <pt idx="78">
                  <v>12/1/2021</v>
                </pt>
                <pt idx="79">
                  <v>13/1/2021</v>
                </pt>
                <pt idx="80">
                  <v>14/1/2021</v>
                </pt>
                <pt idx="81">
                  <v>15/1/2021</v>
                </pt>
                <pt idx="82">
                  <v>18/1/2021</v>
                </pt>
                <pt idx="83">
                  <v>19/1/2021</v>
                </pt>
                <pt idx="84">
                  <v>20/1/2021</v>
                </pt>
                <pt idx="85">
                  <v>21/1/2021</v>
                </pt>
                <pt idx="86">
                  <v>22/1/2021</v>
                </pt>
                <pt idx="87">
                  <v>25/1/2021</v>
                </pt>
                <pt idx="88">
                  <v>26/1/2021</v>
                </pt>
                <pt idx="89">
                  <v>27/1/2021</v>
                </pt>
                <pt idx="90">
                  <v>28/1/2021</v>
                </pt>
                <pt idx="91">
                  <v>29/1/2021</v>
                </pt>
                <pt idx="92">
                  <v>1/2/2021</v>
                </pt>
                <pt idx="93">
                  <v>2/2/2021</v>
                </pt>
                <pt idx="94">
                  <v>3/2/2021</v>
                </pt>
                <pt idx="95">
                  <v>4/2/2021</v>
                </pt>
                <pt idx="96">
                  <v>5/2/2021</v>
                </pt>
                <pt idx="97">
                  <v>8/2/2021</v>
                </pt>
                <pt idx="98">
                  <v>9/2/2021</v>
                </pt>
                <pt idx="99">
                  <v>10/2/2021</v>
                </pt>
                <pt idx="100">
                  <v>11/2/2021</v>
                </pt>
                <pt idx="101">
                  <v>12/2/2021</v>
                </pt>
                <pt idx="102">
                  <v>17/2/2021</v>
                </pt>
                <pt idx="103">
                  <v>18/2/2021</v>
                </pt>
                <pt idx="104">
                  <v>19/2/2021</v>
                </pt>
                <pt idx="105">
                  <v>22/2/2021</v>
                </pt>
                <pt idx="106">
                  <v>23/2/2021</v>
                </pt>
                <pt idx="107">
                  <v>24/2/2021</v>
                </pt>
                <pt idx="108">
                  <v>25/2/2021</v>
                </pt>
                <pt idx="109">
                  <v>26/2/2021</v>
                </pt>
                <pt idx="110">
                  <v>1/3/2021</v>
                </pt>
                <pt idx="111">
                  <v>2/3/2021</v>
                </pt>
                <pt idx="112">
                  <v>3/3/2021</v>
                </pt>
                <pt idx="113">
                  <v>4/3/2021</v>
                </pt>
                <pt idx="114">
                  <v>5/3/2021</v>
                </pt>
                <pt idx="115">
                  <v>8/3/2021</v>
                </pt>
                <pt idx="116">
                  <v>9/3/2021</v>
                </pt>
                <pt idx="117">
                  <v>10/3/2021</v>
                </pt>
                <pt idx="118">
                  <v>11/3/2021</v>
                </pt>
                <pt idx="119">
                  <v>12/3/2021</v>
                </pt>
                <pt idx="120">
                  <v>15/3/2021</v>
                </pt>
                <pt idx="121">
                  <v>16/3/2021</v>
                </pt>
                <pt idx="122">
                  <v>17/3/2021</v>
                </pt>
                <pt idx="123">
                  <v>18/3/2021</v>
                </pt>
                <pt idx="124">
                  <v>19/3/2021</v>
                </pt>
                <pt idx="125">
                  <v>22/3/2021</v>
                </pt>
                <pt idx="126">
                  <v>23/3/2021</v>
                </pt>
                <pt idx="127">
                  <v>25/3/2021</v>
                </pt>
                <pt idx="128">
                  <v>26/3/2021</v>
                </pt>
                <pt idx="129">
                  <v>29/3/2021</v>
                </pt>
                <pt idx="130">
                  <v>30/3/2021</v>
                </pt>
                <pt idx="131">
                  <v>31/3/2021</v>
                </pt>
                <pt idx="132">
                  <v>5/4/2021</v>
                </pt>
                <pt idx="133">
                  <v>6/4/2021</v>
                </pt>
                <pt idx="134">
                  <v>7/4/2021</v>
                </pt>
                <pt idx="135">
                  <v>8/4/2021</v>
                </pt>
                <pt idx="136">
                  <v>9/4/2021</v>
                </pt>
                <pt idx="137">
                  <v>12/4/2021</v>
                </pt>
                <pt idx="138">
                  <v>13/4/2021</v>
                </pt>
                <pt idx="139">
                  <v>14/4/2021</v>
                </pt>
                <pt idx="140">
                  <v>15/4/2021</v>
                </pt>
                <pt idx="141">
                  <v>16/4/2021</v>
                </pt>
                <pt idx="142">
                  <v>19/4/2021</v>
                </pt>
                <pt idx="143">
                  <v>20/4/2021</v>
                </pt>
                <pt idx="144">
                  <v>21/4/2021</v>
                </pt>
                <pt idx="145">
                  <v>22/4/2021</v>
                </pt>
                <pt idx="146">
                  <v>23/4/2021</v>
                </pt>
                <pt idx="147">
                  <v>26/4/2021</v>
                </pt>
                <pt idx="148">
                  <v>27/4/2021</v>
                </pt>
                <pt idx="149">
                  <v>28/4/2021</v>
                </pt>
                <pt idx="150">
                  <v>29/4/2021</v>
                </pt>
                <pt idx="151">
                  <v>30/4/2021</v>
                </pt>
                <pt idx="152">
                  <v>3/5/2021</v>
                </pt>
                <pt idx="153">
                  <v>4/5/2021</v>
                </pt>
                <pt idx="154">
                  <v>5/5/2021</v>
                </pt>
                <pt idx="155">
                  <v>6/5/2021</v>
                </pt>
                <pt idx="156">
                  <v>7/5/2021</v>
                </pt>
                <pt idx="157">
                  <v>10/5/2021</v>
                </pt>
                <pt idx="158">
                  <v>11/5/2021</v>
                </pt>
                <pt idx="159">
                  <v>12/5/2021</v>
                </pt>
                <pt idx="160">
                  <v>13/5/2021</v>
                </pt>
                <pt idx="161">
                  <v>14/5/2021</v>
                </pt>
                <pt idx="162">
                  <v>17/5/2021</v>
                </pt>
                <pt idx="163">
                  <v>18/5/2021</v>
                </pt>
                <pt idx="164">
                  <v>19/5/2021</v>
                </pt>
                <pt idx="165">
                  <v>20/5/2021</v>
                </pt>
                <pt idx="166">
                  <v>21/5/2021</v>
                </pt>
                <pt idx="167">
                  <v>26/5/2021</v>
                </pt>
                <pt idx="168">
                  <v>27/5/2021</v>
                </pt>
                <pt idx="169">
                  <v>28/5/2021</v>
                </pt>
                <pt idx="170">
                  <v>31/5/2021</v>
                </pt>
                <pt idx="171">
                  <v>1/6/2021</v>
                </pt>
                <pt idx="172">
                  <v>2/6/2021</v>
                </pt>
                <pt idx="173">
                  <v>3/6/2021</v>
                </pt>
                <pt idx="174">
                  <v>4/6/2021</v>
                </pt>
                <pt idx="175">
                  <v>7/6/2021</v>
                </pt>
                <pt idx="176">
                  <v>8/6/2021</v>
                </pt>
                <pt idx="177">
                  <v>9/6/2021</v>
                </pt>
                <pt idx="178">
                  <v>10/6/2021</v>
                </pt>
                <pt idx="179">
                  <v>11/6/2021</v>
                </pt>
                <pt idx="180">
                  <v>14/6/2021</v>
                </pt>
                <pt idx="181">
                  <v>15/6/2021</v>
                </pt>
                <pt idx="182">
                  <v>16/6/2021</v>
                </pt>
                <pt idx="183">
                  <v>17/6/2021</v>
                </pt>
                <pt idx="184">
                  <v>18/6/2021</v>
                </pt>
                <pt idx="185">
                  <v>22/6/2021</v>
                </pt>
                <pt idx="186">
                  <v>23/6/2021</v>
                </pt>
                <pt idx="187">
                  <v>24/6/2021</v>
                </pt>
                <pt idx="188">
                  <v>25/6/2021</v>
                </pt>
                <pt idx="189">
                  <v>28/6/2021</v>
                </pt>
                <pt idx="190">
                  <v>29/6/2021</v>
                </pt>
                <pt idx="191">
                  <v>30/6/2021</v>
                </pt>
                <pt idx="192">
                  <v>1/7/2021</v>
                </pt>
                <pt idx="193">
                  <v>2/7/2021</v>
                </pt>
                <pt idx="194">
                  <v>5/7/2021</v>
                </pt>
                <pt idx="195">
                  <v>6/7/2021</v>
                </pt>
                <pt idx="196">
                  <v>7/7/2021</v>
                </pt>
                <pt idx="197">
                  <v>8/7/2021</v>
                </pt>
                <pt idx="198">
                  <v>12/7/2021</v>
                </pt>
                <pt idx="199">
                  <v>13/7/2021</v>
                </pt>
                <pt idx="200">
                  <v>14/7/2021</v>
                </pt>
                <pt idx="201">
                  <v>15/7/2021</v>
                </pt>
                <pt idx="202">
                  <v>16/7/2021</v>
                </pt>
              </strCache>
            </strRef>
          </cat>
          <val>
            <numRef>
              <f>'29-30'!$B$2:$B$205</f>
              <numCache>
                <formatCode>0.00%</formatCode>
                <ptCount val="203"/>
                <pt idx="0">
                  <v>0.003034064310423523</v>
                </pt>
                <pt idx="1">
                  <v>0.006896646814772089</v>
                </pt>
                <pt idx="2">
                  <v>0.01240726013056409</v>
                </pt>
                <pt idx="3">
                  <v>0.01957831937810944</v>
                </pt>
                <pt idx="4">
                  <v>0.01595141323536348</v>
                </pt>
                <pt idx="5">
                  <v>0.01614930535580816</v>
                </pt>
                <pt idx="6">
                  <v>0.01437287011759952</v>
                </pt>
                <pt idx="7">
                  <v>0.01383778221673965</v>
                </pt>
                <pt idx="8">
                  <v>0.01902917389075409</v>
                </pt>
                <pt idx="9">
                  <v>0.01563582621223558</v>
                </pt>
                <pt idx="10">
                  <v>0.01709286296826851</v>
                </pt>
                <pt idx="11">
                  <v>0.01646109275341617</v>
                </pt>
                <pt idx="12">
                  <v>0.01573960142438419</v>
                </pt>
                <pt idx="13">
                  <v>0.01865766566457683</v>
                </pt>
                <pt idx="14">
                  <v>0.01458832618859585</v>
                </pt>
                <pt idx="15">
                  <v>0.01294941565557872</v>
                </pt>
                <pt idx="16">
                  <v>0.01153098251800078</v>
                </pt>
                <pt idx="17">
                  <v>0.009427235877876194</v>
                </pt>
                <pt idx="18">
                  <v>0.009207997196477802</v>
                </pt>
                <pt idx="19">
                  <v>0.01202000654985236</v>
                </pt>
                <pt idx="20">
                  <v>0.01006193250300519</v>
                </pt>
                <pt idx="21">
                  <v>0.007412812040590855</v>
                </pt>
                <pt idx="22">
                  <v>0.004477256516352224</v>
                </pt>
                <pt idx="23">
                  <v>0.003949219091999634</v>
                </pt>
                <pt idx="24">
                  <v>0.004367059085958969</v>
                </pt>
                <pt idx="25">
                  <v>0.005843281743628914</v>
                </pt>
                <pt idx="26">
                  <v>0.01140532196995525</v>
                </pt>
                <pt idx="27">
                  <v>0.0226630464226894</v>
                </pt>
                <pt idx="28">
                  <v>0.03786376523764601</v>
                </pt>
                <pt idx="29">
                  <v>0.02582938812809538</v>
                </pt>
                <pt idx="30">
                  <v>0.0404824420712524</v>
                </pt>
                <pt idx="31">
                  <v>0.05675958936719294</v>
                </pt>
                <pt idx="32">
                  <v>0.06993640979325089</v>
                </pt>
                <pt idx="33">
                  <v>0.07129283600770614</v>
                </pt>
                <pt idx="34">
                  <v>0.05337256215784553</v>
                </pt>
                <pt idx="35">
                  <v>0.06693852463293076</v>
                </pt>
                <pt idx="36">
                  <v>0.06783412767973107</v>
                </pt>
                <pt idx="37">
                  <v>0.07786706086058826</v>
                </pt>
                <pt idx="38">
                  <v>0.07684956303357365</v>
                </pt>
                <pt idx="39">
                  <v>0.07623209999971603</v>
                </pt>
                <pt idx="40">
                  <v>0.0701837581879568</v>
                </pt>
                <pt idx="41">
                  <v>0.05864279415143131</v>
                </pt>
                <pt idx="42">
                  <v>0.04787676160633852</v>
                </pt>
                <pt idx="43">
                  <v>0.05362802743128869</v>
                </pt>
                <pt idx="44">
                  <v>0.04999176349854945</v>
                </pt>
                <pt idx="45">
                  <v>0.04122000028708311</v>
                </pt>
                <pt idx="46">
                  <v>0.04007733272916492</v>
                </pt>
                <pt idx="47">
                  <v>0.03109232784540245</v>
                </pt>
                <pt idx="48">
                  <v>0.03387858234266916</v>
                </pt>
                <pt idx="49">
                  <v>0.04036682512233325</v>
                </pt>
                <pt idx="50">
                  <v>0.04429972000000199</v>
                </pt>
                <pt idx="51">
                  <v>0.04437878592027544</v>
                </pt>
                <pt idx="52">
                  <v>0.0419538620291397</v>
                </pt>
                <pt idx="53">
                  <v>0.03817824742275649</v>
                </pt>
                <pt idx="54">
                  <v>0.03604823184282796</v>
                </pt>
                <pt idx="55">
                  <v>0.03333063177664941</v>
                </pt>
                <pt idx="56">
                  <v>0.03182136191711071</v>
                </pt>
                <pt idx="57">
                  <v>0.03381049685310927</v>
                </pt>
                <pt idx="58">
                  <v>0.02795194897335412</v>
                </pt>
                <pt idx="59">
                  <v>0.02666217585847575</v>
                </pt>
                <pt idx="60">
                  <v>0.02283899350415375</v>
                </pt>
                <pt idx="61">
                  <v>0.01981510299670447</v>
                </pt>
                <pt idx="62">
                  <v>0.01928707263332291</v>
                </pt>
                <pt idx="63">
                  <v>0.01976733725244645</v>
                </pt>
                <pt idx="64">
                  <v>0.01935789391109449</v>
                </pt>
                <pt idx="65">
                  <v>0.01735516642065033</v>
                </pt>
                <pt idx="66">
                  <v>0.01674638748378549</v>
                </pt>
                <pt idx="67">
                  <v>0.01794123109380336</v>
                </pt>
                <pt idx="68">
                  <v>0.01852988545638118</v>
                </pt>
                <pt idx="69">
                  <v>0.01537487419900219</v>
                </pt>
                <pt idx="70">
                  <v>0.01617020059992152</v>
                </pt>
                <pt idx="71">
                  <v>0.01605981324491323</v>
                </pt>
                <pt idx="72">
                  <v>0.009959993109689758</v>
                </pt>
                <pt idx="73">
                  <v>0.01184623415064329</v>
                </pt>
                <pt idx="74">
                  <v>0.01584981021933973</v>
                </pt>
                <pt idx="75">
                  <v>0.01862954406279849</v>
                </pt>
                <pt idx="76">
                  <v>0.01530075944667691</v>
                </pt>
                <pt idx="77">
                  <v>0.01906979176159429</v>
                </pt>
                <pt idx="78">
                  <v>0.02086867156402455</v>
                </pt>
                <pt idx="79">
                  <v>0.01733906592258772</v>
                </pt>
                <pt idx="80">
                  <v>0.016515554184172</v>
                </pt>
                <pt idx="81">
                  <v>0.01559888753341587</v>
                </pt>
                <pt idx="82">
                  <v>0.01466990797012302</v>
                </pt>
                <pt idx="83">
                  <v>0.01576491360410032</v>
                </pt>
                <pt idx="84">
                  <v>0.01394465507243275</v>
                </pt>
                <pt idx="85">
                  <v>0.0137319636009231</v>
                </pt>
                <pt idx="86">
                  <v>0.01472688101500907</v>
                </pt>
                <pt idx="87">
                  <v>0.01459325203529332</v>
                </pt>
                <pt idx="88">
                  <v>0.01428179797908496</v>
                </pt>
                <pt idx="89">
                  <v>0.01567249362968337</v>
                </pt>
                <pt idx="90">
                  <v>0.013346299687576</v>
                </pt>
                <pt idx="91">
                  <v>0.01564185492981174</v>
                </pt>
                <pt idx="92">
                  <v>0.01842325502792042</v>
                </pt>
                <pt idx="93">
                  <v>0.02031723710786659</v>
                </pt>
                <pt idx="94">
                  <v>0.01969781162399503</v>
                </pt>
                <pt idx="95">
                  <v>0.01988379041003357</v>
                </pt>
                <pt idx="96">
                  <v>0.02007427775905246</v>
                </pt>
                <pt idx="97">
                  <v>0.02044817739524601</v>
                </pt>
                <pt idx="98">
                  <v>0.02093590949355706</v>
                </pt>
                <pt idx="99">
                  <v>0.02102419093201258</v>
                </pt>
                <pt idx="100">
                  <v>0.02230419934439326</v>
                </pt>
                <pt idx="101">
                  <v>0.02689344557135032</v>
                </pt>
                <pt idx="102">
                  <v>0.02683524389341696</v>
                </pt>
                <pt idx="103">
                  <v>0.02333293591292779</v>
                </pt>
                <pt idx="104">
                  <v>0.02491072650230824</v>
                </pt>
                <pt idx="105">
                  <v>0.02027046768215363</v>
                </pt>
                <pt idx="106">
                  <v>0.02064300746749403</v>
                </pt>
                <pt idx="107">
                  <v>0.01944009936298458</v>
                </pt>
                <pt idx="108">
                  <v>0.01572982201073436</v>
                </pt>
                <pt idx="109">
                  <v>0.01392394835003419</v>
                </pt>
                <pt idx="110">
                  <v>0.01530123410693185</v>
                </pt>
                <pt idx="111">
                  <v>0.01517638893275669</v>
                </pt>
                <pt idx="112">
                  <v>0.01396085423760057</v>
                </pt>
                <pt idx="113">
                  <v>0.01536152821451076</v>
                </pt>
                <pt idx="114">
                  <v>0.0187450208917036</v>
                </pt>
                <pt idx="115">
                  <v>0.01299690234166168</v>
                </pt>
                <pt idx="116">
                  <v>0.01216882812007231</v>
                </pt>
                <pt idx="117">
                  <v>0.01592521565710869</v>
                </pt>
                <pt idx="118">
                  <v>0.01541506227980616</v>
                </pt>
                <pt idx="119">
                  <v>0.01222130196188648</v>
                </pt>
                <pt idx="120">
                  <v>0.01622412329993089</v>
                </pt>
                <pt idx="121">
                  <v>0.01351890296672298</v>
                </pt>
                <pt idx="122">
                  <v>0.01141440244093045</v>
                </pt>
                <pt idx="123">
                  <v>0.01000166917331907</v>
                </pt>
                <pt idx="124">
                  <v>0.01180100877114409</v>
                </pt>
                <pt idx="125">
                  <v>0.01238875010695861</v>
                </pt>
                <pt idx="126">
                  <v>0.01347226278839686</v>
                </pt>
                <pt idx="127">
                  <v>0.01163187543994576</v>
                </pt>
                <pt idx="128">
                  <v>0.01272597672624665</v>
                </pt>
                <pt idx="129">
                  <v>0.01599274101940884</v>
                </pt>
                <pt idx="130">
                  <v>0.01597473207825262</v>
                </pt>
                <pt idx="131">
                  <v>0.02037236145149818</v>
                </pt>
                <pt idx="132">
                  <v>0.0139301878981879</v>
                </pt>
                <pt idx="133">
                  <v>0.0135154190846003</v>
                </pt>
                <pt idx="134">
                  <v>0.01300410085952713</v>
                </pt>
                <pt idx="135">
                  <v>0.01569827167351712</v>
                </pt>
                <pt idx="136">
                  <v>0.01518372680623381</v>
                </pt>
                <pt idx="137">
                  <v>0.01677162866974036</v>
                </pt>
                <pt idx="138">
                  <v>0.01656591395670132</v>
                </pt>
                <pt idx="139">
                  <v>0.0187571150901471</v>
                </pt>
                <pt idx="140">
                  <v>0.01924291788746774</v>
                </pt>
                <pt idx="141">
                  <v>0.02073660570278413</v>
                </pt>
                <pt idx="142">
                  <v>0.01900976129765863</v>
                </pt>
                <pt idx="143">
                  <v>0.01960018045611106</v>
                </pt>
                <pt idx="144">
                  <v>0.02119658612468761</v>
                </pt>
                <pt idx="145">
                  <v>0.02299197717658163</v>
                </pt>
                <pt idx="146">
                  <v>0.02398242336893575</v>
                </pt>
                <pt idx="147">
                  <v>0.0203600188973459</v>
                </pt>
                <pt idx="148">
                  <v>0.01795293512756946</v>
                </pt>
                <pt idx="149">
                  <v>0.01964906096163754</v>
                </pt>
                <pt idx="150">
                  <v>0.01633154795753933</v>
                </pt>
                <pt idx="151">
                  <v>0.01752376238972758</v>
                </pt>
                <pt idx="152">
                  <v>0.0164954576446727</v>
                </pt>
                <pt idx="153">
                  <v>0.01688632555521941</v>
                </pt>
                <pt idx="154">
                  <v>0.01617492623130895</v>
                </pt>
                <pt idx="155">
                  <v>0.01826560183872694</v>
                </pt>
                <pt idx="156">
                  <v>0.02055361185934979</v>
                </pt>
                <pt idx="157">
                  <v>0.02052864192430259</v>
                </pt>
                <pt idx="158">
                  <v>0.02221434931817984</v>
                </pt>
                <pt idx="159">
                  <v>0.02251013292724491</v>
                </pt>
                <pt idx="160">
                  <v>0.02280329712884005</v>
                </pt>
                <pt idx="161">
                  <v>0.02380768845711634</v>
                </pt>
                <pt idx="162">
                  <v>0.02398850057755741</v>
                </pt>
                <pt idx="163">
                  <v>0.02347855556390771</v>
                </pt>
                <pt idx="164">
                  <v>0.02426274304825149</v>
                </pt>
                <pt idx="165">
                  <v>0.025551957639739</v>
                </pt>
                <pt idx="166">
                  <v>0.02573870333924505</v>
                </pt>
                <pt idx="167">
                  <v>0.02360243325914968</v>
                </pt>
                <pt idx="168">
                  <v>0.02479685797221776</v>
                </pt>
                <pt idx="169">
                  <v>0.02328276355958309</v>
                </pt>
                <pt idx="170">
                  <v>0.02335502959642288</v>
                </pt>
                <pt idx="171">
                  <v>0.02284813067390706</v>
                </pt>
                <pt idx="172">
                  <v>0.0208431454989399</v>
                </pt>
                <pt idx="173">
                  <v>0.02183268841039387</v>
                </pt>
                <pt idx="174">
                  <v>0.0223222371765055</v>
                </pt>
                <pt idx="175">
                  <v>0.01699493035326183</v>
                </pt>
                <pt idx="176">
                  <v>0.01759008311665866</v>
                </pt>
                <pt idx="177">
                  <v>0.01678459392634729</v>
                </pt>
                <pt idx="178">
                  <v>0.01557637148651136</v>
                </pt>
                <pt idx="179">
                  <v>0.0162695876254102</v>
                </pt>
                <pt idx="180">
                  <v>0.01574033837879757</v>
                </pt>
                <pt idx="181">
                  <v>0.0166299280891552</v>
                </pt>
                <pt idx="182">
                  <v>0.01551909564341641</v>
                </pt>
                <pt idx="183">
                  <v>0.0181088620361462</v>
                </pt>
                <pt idx="184">
                  <v>0.01929889437624721</v>
                </pt>
                <pt idx="185">
                  <v>0.01965852602338752</v>
                </pt>
                <pt idx="186">
                  <v>0.02024903739508299</v>
                </pt>
                <pt idx="187">
                  <v>0.02173839229094343</v>
                </pt>
                <pt idx="188">
                  <v>0.02472692212125721</v>
                </pt>
                <pt idx="189">
                  <v>0.02399913505072343</v>
                </pt>
                <pt idx="190">
                  <v>0.02578893470365995</v>
                </pt>
                <pt idx="191">
                  <v>0.02437921870758042</v>
                </pt>
                <pt idx="192">
                  <v>0.0245702089450755</v>
                </pt>
                <pt idx="193">
                  <v>0.02446184816299679</v>
                </pt>
                <pt idx="194">
                  <v>0.02603526458257627</v>
                </pt>
                <pt idx="195">
                  <v>0.02532636851268821</v>
                </pt>
                <pt idx="196">
                  <v>0.01841719557363702</v>
                </pt>
                <pt idx="197">
                  <v>0.01680857766006311</v>
                </pt>
                <pt idx="198">
                  <v>0.01507410066974318</v>
                </pt>
                <pt idx="199">
                  <v>0.01296525768849249</v>
                </pt>
                <pt idx="200">
                  <v>0.01305615227467483</v>
                </pt>
                <pt idx="201">
                  <v>0.01074747474576532</v>
                </pt>
                <pt idx="202">
                  <v>0.008238732016516204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5169152"/>
        <axId val="135170688"/>
      </lineChart>
      <catAx>
        <axId val="13516915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5170688"/>
        <crosses val="autoZero"/>
        <auto val="1"/>
        <lblAlgn val="ctr"/>
        <lblOffset val="100"/>
        <noMultiLvlLbl val="0"/>
      </catAx>
      <valAx>
        <axId val="135170688"/>
        <scaling>
          <orientation val="minMax"/>
        </scaling>
        <delete val="0"/>
        <axPos val="l"/>
        <majorGridlines/>
        <numFmt formatCode="0.00%" sourceLinked="1"/>
        <majorTickMark val="out"/>
        <minorTickMark val="none"/>
        <tickLblPos val="nextTo"/>
        <crossAx val="13516915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charts/chart11.xml><?xml version="1.0" encoding="utf-8"?>
<chartSpace xmlns="http://schemas.openxmlformats.org/drawingml/2006/chart">
  <pivotSource>
    <name>[Bonos en dolares.xlsm]29-38!TablaDinámica2</name>
    <fmtId val="0"/>
  </pivotSource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solidFill xmlns:a="http://schemas.openxmlformats.org/drawingml/2006/main">
            <a:schemeClr val="accent1"/>
          </a:solidFill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827535684751735"/>
          <y val="0.1261664284518928"/>
          <w val="0.9365874770790638"/>
          <h val="0.8055484419146668"/>
        </manualLayout>
      </layout>
      <lineChart>
        <grouping val="standard"/>
        <varyColors val="0"/>
        <ser>
          <idx val="0"/>
          <order val="0"/>
          <tx>
            <strRef>
              <f>'29-38'!$B$1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'29-38'!$A$2:$A$246</f>
              <strCache>
                <ptCount val="244"/>
                <pt idx="0">
                  <v>24/9/2020</v>
                </pt>
                <pt idx="1">
                  <v>25/9/2020</v>
                </pt>
                <pt idx="2">
                  <v>28/9/2020</v>
                </pt>
                <pt idx="3">
                  <v>29/9/2020</v>
                </pt>
                <pt idx="4">
                  <v>30/9/2020</v>
                </pt>
                <pt idx="5">
                  <v>1/10/2020</v>
                </pt>
                <pt idx="6">
                  <v>2/10/2020</v>
                </pt>
                <pt idx="7">
                  <v>5/10/2020</v>
                </pt>
                <pt idx="8">
                  <v>6/10/2020</v>
                </pt>
                <pt idx="9">
                  <v>7/10/2020</v>
                </pt>
                <pt idx="10">
                  <v>8/10/2020</v>
                </pt>
                <pt idx="11">
                  <v>9/10/2020</v>
                </pt>
                <pt idx="12">
                  <v>13/10/2020</v>
                </pt>
                <pt idx="13">
                  <v>14/10/2020</v>
                </pt>
                <pt idx="14">
                  <v>15/10/2020</v>
                </pt>
                <pt idx="15">
                  <v>16/10/2020</v>
                </pt>
                <pt idx="16">
                  <v>19/10/2020</v>
                </pt>
                <pt idx="17">
                  <v>20/10/2020</v>
                </pt>
                <pt idx="18">
                  <v>21/10/2020</v>
                </pt>
                <pt idx="19">
                  <v>22/10/2020</v>
                </pt>
                <pt idx="20">
                  <v>23/10/2020</v>
                </pt>
                <pt idx="21">
                  <v>26/10/2020</v>
                </pt>
                <pt idx="22">
                  <v>27/10/2020</v>
                </pt>
                <pt idx="23">
                  <v>28/10/2020</v>
                </pt>
                <pt idx="24">
                  <v>29/10/2020</v>
                </pt>
                <pt idx="25">
                  <v>30/10/2020</v>
                </pt>
                <pt idx="26">
                  <v>2/11/2020</v>
                </pt>
                <pt idx="27">
                  <v>3/11/2020</v>
                </pt>
                <pt idx="28">
                  <v>4/11/2020</v>
                </pt>
                <pt idx="29">
                  <v>5/11/2020</v>
                </pt>
                <pt idx="30">
                  <v>6/11/2020</v>
                </pt>
                <pt idx="31">
                  <v>9/11/2020</v>
                </pt>
                <pt idx="32">
                  <v>10/11/2020</v>
                </pt>
                <pt idx="33">
                  <v>11/11/2020</v>
                </pt>
                <pt idx="34">
                  <v>12/11/2020</v>
                </pt>
                <pt idx="35">
                  <v>13/11/2020</v>
                </pt>
                <pt idx="36">
                  <v>16/11/2020</v>
                </pt>
                <pt idx="37">
                  <v>17/11/2020</v>
                </pt>
                <pt idx="38">
                  <v>18/11/2020</v>
                </pt>
                <pt idx="39">
                  <v>19/11/2020</v>
                </pt>
                <pt idx="40">
                  <v>20/11/2020</v>
                </pt>
                <pt idx="41">
                  <v>24/11/2020</v>
                </pt>
                <pt idx="42">
                  <v>25/11/2020</v>
                </pt>
                <pt idx="43">
                  <v>26/11/2020</v>
                </pt>
                <pt idx="44">
                  <v>27/11/2020</v>
                </pt>
                <pt idx="45">
                  <v>30/11/2020</v>
                </pt>
                <pt idx="46">
                  <v>1/12/2020</v>
                </pt>
                <pt idx="47">
                  <v>2/12/2020</v>
                </pt>
                <pt idx="48">
                  <v>3/12/2020</v>
                </pt>
                <pt idx="49">
                  <v>4/12/2020</v>
                </pt>
                <pt idx="50">
                  <v>9/12/2020</v>
                </pt>
                <pt idx="51">
                  <v>10/12/2020</v>
                </pt>
                <pt idx="52">
                  <v>11/12/2020</v>
                </pt>
                <pt idx="53">
                  <v>14/12/2020</v>
                </pt>
                <pt idx="54">
                  <v>15/12/2020</v>
                </pt>
                <pt idx="55">
                  <v>16/12/2020</v>
                </pt>
                <pt idx="56">
                  <v>17/12/2020</v>
                </pt>
                <pt idx="57">
                  <v>18/12/2020</v>
                </pt>
                <pt idx="58">
                  <v>21/12/2020</v>
                </pt>
                <pt idx="59">
                  <v>22/12/2020</v>
                </pt>
                <pt idx="60">
                  <v>23/12/2020</v>
                </pt>
                <pt idx="61">
                  <v>28/12/2020</v>
                </pt>
                <pt idx="62">
                  <v>29/12/2020</v>
                </pt>
                <pt idx="63">
                  <v>30/12/2020</v>
                </pt>
                <pt idx="64">
                  <v>4/1/2021</v>
                </pt>
                <pt idx="65">
                  <v>5/1/2021</v>
                </pt>
                <pt idx="66">
                  <v>6/1/2021</v>
                </pt>
                <pt idx="67">
                  <v>7/1/2021</v>
                </pt>
                <pt idx="68">
                  <v>8/1/2021</v>
                </pt>
                <pt idx="69">
                  <v>11/1/2021</v>
                </pt>
                <pt idx="70">
                  <v>12/1/2021</v>
                </pt>
                <pt idx="71">
                  <v>13/1/2021</v>
                </pt>
                <pt idx="72">
                  <v>14/1/2021</v>
                </pt>
                <pt idx="73">
                  <v>15/1/2021</v>
                </pt>
                <pt idx="74">
                  <v>18/1/2021</v>
                </pt>
                <pt idx="75">
                  <v>19/1/2021</v>
                </pt>
                <pt idx="76">
                  <v>20/1/2021</v>
                </pt>
                <pt idx="77">
                  <v>21/1/2021</v>
                </pt>
                <pt idx="78">
                  <v>22/1/2021</v>
                </pt>
                <pt idx="79">
                  <v>25/1/2021</v>
                </pt>
                <pt idx="80">
                  <v>26/1/2021</v>
                </pt>
                <pt idx="81">
                  <v>27/1/2021</v>
                </pt>
                <pt idx="82">
                  <v>28/1/2021</v>
                </pt>
                <pt idx="83">
                  <v>29/1/2021</v>
                </pt>
                <pt idx="84">
                  <v>1/2/2021</v>
                </pt>
                <pt idx="85">
                  <v>2/2/2021</v>
                </pt>
                <pt idx="86">
                  <v>3/2/2021</v>
                </pt>
                <pt idx="87">
                  <v>4/2/2021</v>
                </pt>
                <pt idx="88">
                  <v>5/2/2021</v>
                </pt>
                <pt idx="89">
                  <v>8/2/2021</v>
                </pt>
                <pt idx="90">
                  <v>9/2/2021</v>
                </pt>
                <pt idx="91">
                  <v>10/2/2021</v>
                </pt>
                <pt idx="92">
                  <v>11/2/2021</v>
                </pt>
                <pt idx="93">
                  <v>12/2/2021</v>
                </pt>
                <pt idx="94">
                  <v>17/2/2021</v>
                </pt>
                <pt idx="95">
                  <v>18/2/2021</v>
                </pt>
                <pt idx="96">
                  <v>19/2/2021</v>
                </pt>
                <pt idx="97">
                  <v>22/2/2021</v>
                </pt>
                <pt idx="98">
                  <v>23/2/2021</v>
                </pt>
                <pt idx="99">
                  <v>24/2/2021</v>
                </pt>
                <pt idx="100">
                  <v>25/2/2021</v>
                </pt>
                <pt idx="101">
                  <v>26/2/2021</v>
                </pt>
                <pt idx="102">
                  <v>1/3/2021</v>
                </pt>
                <pt idx="103">
                  <v>2/3/2021</v>
                </pt>
                <pt idx="104">
                  <v>3/3/2021</v>
                </pt>
                <pt idx="105">
                  <v>4/3/2021</v>
                </pt>
                <pt idx="106">
                  <v>5/3/2021</v>
                </pt>
                <pt idx="107">
                  <v>8/3/2021</v>
                </pt>
                <pt idx="108">
                  <v>9/3/2021</v>
                </pt>
                <pt idx="109">
                  <v>10/3/2021</v>
                </pt>
                <pt idx="110">
                  <v>11/3/2021</v>
                </pt>
                <pt idx="111">
                  <v>12/3/2021</v>
                </pt>
                <pt idx="112">
                  <v>15/3/2021</v>
                </pt>
                <pt idx="113">
                  <v>16/3/2021</v>
                </pt>
                <pt idx="114">
                  <v>17/3/2021</v>
                </pt>
                <pt idx="115">
                  <v>18/3/2021</v>
                </pt>
                <pt idx="116">
                  <v>19/3/2021</v>
                </pt>
                <pt idx="117">
                  <v>22/3/2021</v>
                </pt>
                <pt idx="118">
                  <v>23/3/2021</v>
                </pt>
                <pt idx="119">
                  <v>25/3/2021</v>
                </pt>
                <pt idx="120">
                  <v>26/3/2021</v>
                </pt>
                <pt idx="121">
                  <v>29/3/2021</v>
                </pt>
                <pt idx="122">
                  <v>30/3/2021</v>
                </pt>
                <pt idx="123">
                  <v>31/3/2021</v>
                </pt>
                <pt idx="124">
                  <v>5/4/2021</v>
                </pt>
                <pt idx="125">
                  <v>6/4/2021</v>
                </pt>
                <pt idx="126">
                  <v>7/4/2021</v>
                </pt>
                <pt idx="127">
                  <v>8/4/2021</v>
                </pt>
                <pt idx="128">
                  <v>9/4/2021</v>
                </pt>
                <pt idx="129">
                  <v>12/4/2021</v>
                </pt>
                <pt idx="130">
                  <v>13/4/2021</v>
                </pt>
                <pt idx="131">
                  <v>14/4/2021</v>
                </pt>
                <pt idx="132">
                  <v>15/4/2021</v>
                </pt>
                <pt idx="133">
                  <v>16/4/2021</v>
                </pt>
                <pt idx="134">
                  <v>19/4/2021</v>
                </pt>
                <pt idx="135">
                  <v>20/4/2021</v>
                </pt>
                <pt idx="136">
                  <v>21/4/2021</v>
                </pt>
                <pt idx="137">
                  <v>22/4/2021</v>
                </pt>
                <pt idx="138">
                  <v>23/4/2021</v>
                </pt>
                <pt idx="139">
                  <v>26/4/2021</v>
                </pt>
                <pt idx="140">
                  <v>27/4/2021</v>
                </pt>
                <pt idx="141">
                  <v>28/4/2021</v>
                </pt>
                <pt idx="142">
                  <v>29/4/2021</v>
                </pt>
                <pt idx="143">
                  <v>30/4/2021</v>
                </pt>
                <pt idx="144">
                  <v>3/5/2021</v>
                </pt>
                <pt idx="145">
                  <v>4/5/2021</v>
                </pt>
                <pt idx="146">
                  <v>5/5/2021</v>
                </pt>
                <pt idx="147">
                  <v>6/5/2021</v>
                </pt>
                <pt idx="148">
                  <v>7/5/2021</v>
                </pt>
                <pt idx="149">
                  <v>10/5/2021</v>
                </pt>
                <pt idx="150">
                  <v>11/5/2021</v>
                </pt>
                <pt idx="151">
                  <v>12/5/2021</v>
                </pt>
                <pt idx="152">
                  <v>13/5/2021</v>
                </pt>
                <pt idx="153">
                  <v>14/5/2021</v>
                </pt>
                <pt idx="154">
                  <v>17/5/2021</v>
                </pt>
                <pt idx="155">
                  <v>18/5/2021</v>
                </pt>
                <pt idx="156">
                  <v>19/5/2021</v>
                </pt>
                <pt idx="157">
                  <v>20/5/2021</v>
                </pt>
                <pt idx="158">
                  <v>21/5/2021</v>
                </pt>
                <pt idx="159">
                  <v>26/5/2021</v>
                </pt>
                <pt idx="160">
                  <v>27/5/2021</v>
                </pt>
                <pt idx="161">
                  <v>28/5/2021</v>
                </pt>
                <pt idx="162">
                  <v>31/5/2021</v>
                </pt>
                <pt idx="163">
                  <v>1/6/2021</v>
                </pt>
                <pt idx="164">
                  <v>2/6/2021</v>
                </pt>
                <pt idx="165">
                  <v>3/6/2021</v>
                </pt>
                <pt idx="166">
                  <v>4/6/2021</v>
                </pt>
                <pt idx="167">
                  <v>7/6/2021</v>
                </pt>
                <pt idx="168">
                  <v>8/6/2021</v>
                </pt>
                <pt idx="169">
                  <v>9/6/2021</v>
                </pt>
                <pt idx="170">
                  <v>10/6/2021</v>
                </pt>
                <pt idx="171">
                  <v>11/6/2021</v>
                </pt>
                <pt idx="172">
                  <v>14/6/2021</v>
                </pt>
                <pt idx="173">
                  <v>15/6/2021</v>
                </pt>
                <pt idx="174">
                  <v>16/6/2021</v>
                </pt>
                <pt idx="175">
                  <v>17/6/2021</v>
                </pt>
                <pt idx="176">
                  <v>18/6/2021</v>
                </pt>
                <pt idx="177">
                  <v>22/6/2021</v>
                </pt>
                <pt idx="178">
                  <v>23/6/2021</v>
                </pt>
                <pt idx="179">
                  <v>24/6/2021</v>
                </pt>
                <pt idx="180">
                  <v>25/6/2021</v>
                </pt>
                <pt idx="181">
                  <v>28/6/2021</v>
                </pt>
                <pt idx="182">
                  <v>29/6/2021</v>
                </pt>
                <pt idx="183">
                  <v>30/6/2021</v>
                </pt>
                <pt idx="184">
                  <v>1/7/2021</v>
                </pt>
                <pt idx="185">
                  <v>2/7/2021</v>
                </pt>
                <pt idx="186">
                  <v>5/7/2021</v>
                </pt>
                <pt idx="187">
                  <v>6/7/2021</v>
                </pt>
                <pt idx="188">
                  <v>7/7/2021</v>
                </pt>
                <pt idx="189">
                  <v>8/7/2021</v>
                </pt>
                <pt idx="190">
                  <v>12/7/2021</v>
                </pt>
                <pt idx="191">
                  <v>13/7/2021</v>
                </pt>
                <pt idx="192">
                  <v>14/7/2021</v>
                </pt>
                <pt idx="193">
                  <v>15/7/2021</v>
                </pt>
                <pt idx="194">
                  <v>16/7/2021</v>
                </pt>
                <pt idx="195">
                  <v>24/09/2021</v>
                </pt>
                <pt idx="196">
                  <v>23/09/2021</v>
                </pt>
                <pt idx="197">
                  <v>22/09/2021</v>
                </pt>
                <pt idx="198">
                  <v>21/09/2021</v>
                </pt>
                <pt idx="199">
                  <v>20/09/2021</v>
                </pt>
                <pt idx="200">
                  <v>17/09/2021</v>
                </pt>
                <pt idx="201">
                  <v>16/09/2021</v>
                </pt>
                <pt idx="202">
                  <v>15/9/2021</v>
                </pt>
                <pt idx="203">
                  <v>14/9/2021</v>
                </pt>
                <pt idx="204">
                  <v>13/9/2021</v>
                </pt>
                <pt idx="205">
                  <v>10/9/2021</v>
                </pt>
                <pt idx="206">
                  <v>9/9/2021</v>
                </pt>
                <pt idx="207">
                  <v>8/9/2021</v>
                </pt>
                <pt idx="208">
                  <v>7/9/2021</v>
                </pt>
                <pt idx="209">
                  <v>6/9/2021</v>
                </pt>
                <pt idx="210">
                  <v>3/9/2021</v>
                </pt>
                <pt idx="211">
                  <v>2/9/2021</v>
                </pt>
                <pt idx="212">
                  <v>1/9/2021</v>
                </pt>
                <pt idx="213">
                  <v>31/8/2021</v>
                </pt>
                <pt idx="214">
                  <v>30/8/2021</v>
                </pt>
                <pt idx="215">
                  <v>27/8/2021</v>
                </pt>
                <pt idx="216">
                  <v>26/8/2021</v>
                </pt>
                <pt idx="217">
                  <v>25/8/2021</v>
                </pt>
                <pt idx="218">
                  <v>24/8/2021</v>
                </pt>
                <pt idx="219">
                  <v>23/8/2021</v>
                </pt>
                <pt idx="220">
                  <v>20/8/2021</v>
                </pt>
                <pt idx="221">
                  <v>19/8/2021</v>
                </pt>
                <pt idx="222">
                  <v>18/8/2021</v>
                </pt>
                <pt idx="223">
                  <v>17/8/2021</v>
                </pt>
                <pt idx="224">
                  <v>13/8/2021</v>
                </pt>
                <pt idx="225">
                  <v>12/8/2021</v>
                </pt>
                <pt idx="226">
                  <v>11/8/2021</v>
                </pt>
                <pt idx="227">
                  <v>10/8/2021</v>
                </pt>
                <pt idx="228">
                  <v>9/8/2021</v>
                </pt>
                <pt idx="229">
                  <v>5/8/2021</v>
                </pt>
                <pt idx="230">
                  <v>4/8/2021</v>
                </pt>
                <pt idx="231">
                  <v>3/8/2021</v>
                </pt>
                <pt idx="232">
                  <v>2/8/2021</v>
                </pt>
                <pt idx="233">
                  <v>1/8/2021</v>
                </pt>
                <pt idx="234">
                  <v>30/7/2021</v>
                </pt>
                <pt idx="235">
                  <v>29/7/2021</v>
                </pt>
                <pt idx="236">
                  <v>28/7/2021</v>
                </pt>
                <pt idx="237">
                  <v>27/7/2021</v>
                </pt>
                <pt idx="238">
                  <v>26/7/2021</v>
                </pt>
                <pt idx="239">
                  <v>23/7/2021</v>
                </pt>
                <pt idx="240">
                  <v>22/7/2021</v>
                </pt>
                <pt idx="241">
                  <v>21/7/2021</v>
                </pt>
                <pt idx="242">
                  <v>20/7/2021</v>
                </pt>
                <pt idx="243">
                  <v>19/7/2021</v>
                </pt>
              </strCache>
            </strRef>
          </cat>
          <val>
            <numRef>
              <f>'29-38'!$B$2:$B$246</f>
              <numCache>
                <formatCode>General</formatCode>
                <ptCount val="244"/>
                <pt idx="0">
                  <v>0.04505484304389146</v>
                </pt>
                <pt idx="1">
                  <v>0.03875855300192271</v>
                </pt>
                <pt idx="2">
                  <v>0.04181690964380225</v>
                </pt>
                <pt idx="3">
                  <v>0.04518893514861433</v>
                </pt>
                <pt idx="4">
                  <v>0.03776086853851501</v>
                </pt>
                <pt idx="5">
                  <v>0.03667500426782178</v>
                </pt>
                <pt idx="6">
                  <v>0.03610896241511441</v>
                </pt>
                <pt idx="7">
                  <v>0.04047552775507035</v>
                </pt>
                <pt idx="8">
                  <v>0.04205983856001316</v>
                </pt>
                <pt idx="9">
                  <v>0.0414574012733685</v>
                </pt>
                <pt idx="10">
                  <v>0.04183861633909797</v>
                </pt>
                <pt idx="11">
                  <v>0.04374967161342203</v>
                </pt>
                <pt idx="12">
                  <v>0.04189125472107591</v>
                </pt>
                <pt idx="13">
                  <v>0.04114377059158975</v>
                </pt>
                <pt idx="14">
                  <v>0.04461395685536079</v>
                </pt>
                <pt idx="15">
                  <v>0.04788924665135164</v>
                </pt>
                <pt idx="16">
                  <v>0.04940762644628693</v>
                </pt>
                <pt idx="17">
                  <v>0.04167543250904177</v>
                </pt>
                <pt idx="18">
                  <v>0.0469370815221577</v>
                </pt>
                <pt idx="19">
                  <v>0.04628407884882224</v>
                </pt>
                <pt idx="20">
                  <v>0.06658924434411367</v>
                </pt>
                <pt idx="21">
                  <v>0.04814895596839369</v>
                </pt>
                <pt idx="22">
                  <v>0.06670534220664459</v>
                </pt>
                <pt idx="23">
                  <v>0.08378309611621432</v>
                </pt>
                <pt idx="24">
                  <v>0.09645939032089978</v>
                </pt>
                <pt idx="25">
                  <v>0.09201071582179227</v>
                </pt>
                <pt idx="26">
                  <v>0.0772929600313747</v>
                </pt>
                <pt idx="27">
                  <v>0.0822515301993022</v>
                </pt>
                <pt idx="28">
                  <v>0.07924377899437046</v>
                </pt>
                <pt idx="29">
                  <v>0.08377203559958074</v>
                </pt>
                <pt idx="30">
                  <v>0.08305476945677115</v>
                </pt>
                <pt idx="31">
                  <v>0.0807358325451818</v>
                </pt>
                <pt idx="32">
                  <v>0.06918293216373816</v>
                </pt>
                <pt idx="33">
                  <v>0.06614896360577738</v>
                </pt>
                <pt idx="34">
                  <v>0.0525806116754019</v>
                </pt>
                <pt idx="35">
                  <v>0.05592990361804362</v>
                </pt>
                <pt idx="36">
                  <v>0.05459546853513714</v>
                </pt>
                <pt idx="37">
                  <v>0.04652425095371321</v>
                </pt>
                <pt idx="38">
                  <v>0.04348004790942867</v>
                </pt>
                <pt idx="39">
                  <v>0.03539574700034748</v>
                </pt>
                <pt idx="40">
                  <v>0.0364806408204375</v>
                </pt>
                <pt idx="41">
                  <v>0.04837304913894896</v>
                </pt>
                <pt idx="42">
                  <v>0.05630901486520595</v>
                </pt>
                <pt idx="43">
                  <v>0.05929027593826874</v>
                </pt>
                <pt idx="44">
                  <v>0.05706545448362532</v>
                </pt>
                <pt idx="45">
                  <v>0.05278930579227592</v>
                </pt>
                <pt idx="46">
                  <v>0.05135976793166197</v>
                </pt>
                <pt idx="47">
                  <v>0.0400356605482281</v>
                </pt>
                <pt idx="48">
                  <v>0.04633219534754851</v>
                </pt>
                <pt idx="49">
                  <v>0.0485214292926277</v>
                </pt>
                <pt idx="50">
                  <v>0.04786640741578485</v>
                </pt>
                <pt idx="51">
                  <v>0.04987895236478679</v>
                </pt>
                <pt idx="52">
                  <v>0.04815720180464383</v>
                </pt>
                <pt idx="53">
                  <v>0.04893574674072848</v>
                </pt>
                <pt idx="54">
                  <v>0.04960846375171468</v>
                </pt>
                <pt idx="55">
                  <v>0.04478490095298965</v>
                </pt>
                <pt idx="56">
                  <v>0.03877145681120281</v>
                </pt>
                <pt idx="57">
                  <v>0.03696880192752672</v>
                </pt>
                <pt idx="58">
                  <v>0.03806098652422413</v>
                </pt>
                <pt idx="59">
                  <v>0.03855527970912681</v>
                </pt>
                <pt idx="60">
                  <v>0.03894372771928545</v>
                </pt>
                <pt idx="61">
                  <v>0.03438744072413691</v>
                </pt>
                <pt idx="62">
                  <v>0.03748421529451523</v>
                </pt>
                <pt idx="63">
                  <v>0.04347774757867262</v>
                </pt>
                <pt idx="64">
                  <v>0.04318115453443294</v>
                </pt>
                <pt idx="65">
                  <v>0.04536747192114859</v>
                </pt>
                <pt idx="66">
                  <v>0.0430669607525524</v>
                </pt>
                <pt idx="67">
                  <v>0.04304484543317783</v>
                </pt>
                <pt idx="68">
                  <v>0.04031635135670303</v>
                </pt>
                <pt idx="69">
                  <v>0.04558604658903986</v>
                </pt>
                <pt idx="70">
                  <v>0.04778507951133487</v>
                </pt>
                <pt idx="71">
                  <v>0.04495580620693812</v>
                </pt>
                <pt idx="72">
                  <v>0.04713400914332549</v>
                </pt>
                <pt idx="73">
                  <v>0.04551681779984262</v>
                </pt>
                <pt idx="74">
                  <v>0.04468758961821712</v>
                </pt>
                <pt idx="75">
                  <v>0.04518214081592642</v>
                </pt>
                <pt idx="76">
                  <v>0.03775851930846058</v>
                </pt>
                <pt idx="77">
                  <v>0.04054748354225901</v>
                </pt>
                <pt idx="78">
                  <v>0.03964121528952308</v>
                </pt>
                <pt idx="79">
                  <v>0.03550506864399344</v>
                </pt>
                <pt idx="80">
                  <v>0.0362941610871319</v>
                </pt>
                <pt idx="81">
                  <v>0.033282323774593</v>
                </pt>
                <pt idx="82">
                  <v>0.0285547372453992</v>
                </pt>
                <pt idx="83">
                  <v>0.03004979903597982</v>
                </pt>
                <pt idx="84">
                  <v>0.03183050963829182</v>
                </pt>
                <pt idx="85">
                  <v>0.03352433818618611</v>
                </pt>
                <pt idx="86">
                  <v>0.03200438636940706</v>
                </pt>
                <pt idx="87">
                  <v>0.03349101342224897</v>
                </pt>
                <pt idx="88">
                  <v>0.03628282610304207</v>
                </pt>
                <pt idx="89">
                  <v>0.03695671434414766</v>
                </pt>
                <pt idx="90">
                  <v>0.03814474965117232</v>
                </pt>
                <pt idx="91">
                  <v>0.04053414635447133</v>
                </pt>
                <pt idx="92">
                  <v>0.03741185665015095</v>
                </pt>
                <pt idx="93">
                  <v>0.03839923787089844</v>
                </pt>
                <pt idx="94">
                  <v>0.04134229869403921</v>
                </pt>
                <pt idx="95">
                  <v>0.04304245317982719</v>
                </pt>
                <pt idx="96">
                  <v>0.038817394082655</v>
                </pt>
                <pt idx="97">
                  <v>0.03977962094926868</v>
                </pt>
                <pt idx="98">
                  <v>0.03715069597995185</v>
                </pt>
                <pt idx="99">
                  <v>0.03724833262151162</v>
                </pt>
                <pt idx="100">
                  <v>0.03443840745748045</v>
                </pt>
                <pt idx="101">
                  <v>0.03323274310929097</v>
                </pt>
                <pt idx="102">
                  <v>0.0326089395922507</v>
                </pt>
                <pt idx="103">
                  <v>0.03358452129260053</v>
                </pt>
                <pt idx="104">
                  <v>0.04067256348000825</v>
                </pt>
                <pt idx="105">
                  <v>0.04117275432997886</v>
                </pt>
                <pt idx="106">
                  <v>0.04125473398708035</v>
                </pt>
                <pt idx="107">
                  <v>0.03950806971696025</v>
                </pt>
                <pt idx="108">
                  <v>0.0375794448846109</v>
                </pt>
                <pt idx="109">
                  <v>0.03003106088749524</v>
                </pt>
                <pt idx="110">
                  <v>0.03002106474657329</v>
                </pt>
                <pt idx="111">
                  <v>0.02862798824842105</v>
                </pt>
                <pt idx="112">
                  <v>0.02932932947772759</v>
                </pt>
                <pt idx="113">
                  <v>0.02502343386073946</v>
                </pt>
                <pt idx="114">
                  <v>0.02892123730111562</v>
                </pt>
                <pt idx="115">
                  <v>0.02900902475955619</v>
                </pt>
                <pt idx="116">
                  <v>0.02650664929079544</v>
                </pt>
                <pt idx="117">
                  <v>0.02349289514740177</v>
                </pt>
                <pt idx="118">
                  <v>0.02027477878746498</v>
                </pt>
                <pt idx="119">
                  <v>0.01693380011123052</v>
                </pt>
                <pt idx="120">
                  <v>0.01852806309291954</v>
                </pt>
                <pt idx="121">
                  <v>0.01959399899308456</v>
                </pt>
                <pt idx="122">
                  <v>0.01887573550752092</v>
                </pt>
                <pt idx="123">
                  <v>0.02187287532611276</v>
                </pt>
                <pt idx="124">
                  <v>0.02343327965749314</v>
                </pt>
                <pt idx="125">
                  <v>0.02281841388429606</v>
                </pt>
                <pt idx="126">
                  <v>0.03451095064387627</v>
                </pt>
                <pt idx="127">
                  <v>0.02650167548567711</v>
                </pt>
                <pt idx="128">
                  <v>0.02598709360890178</v>
                </pt>
                <pt idx="129">
                  <v>0.02627449254652509</v>
                </pt>
                <pt idx="130">
                  <v>0.02636883468993345</v>
                </pt>
                <pt idx="131">
                  <v>0.02795982547745302</v>
                </pt>
                <pt idx="132">
                  <v>0.026745101742357</v>
                </pt>
                <pt idx="133">
                  <v>0.02673833222685268</v>
                </pt>
                <pt idx="134">
                  <v>0.02771217532346715</v>
                </pt>
                <pt idx="135">
                  <v>0.02570185214698523</v>
                </pt>
                <pt idx="136">
                  <v>0.02669807454107426</v>
                </pt>
                <pt idx="137">
                  <v>0.02469243140750627</v>
                </pt>
                <pt idx="138">
                  <v>0.02748334655758483</v>
                </pt>
                <pt idx="139">
                  <v>0.03156285797300207</v>
                </pt>
                <pt idx="140">
                  <v>0.03145631097153045</v>
                </pt>
                <pt idx="141">
                  <v>0.03015165064128461</v>
                </pt>
                <pt idx="142">
                  <v>0.02963478264816616</v>
                </pt>
                <pt idx="143">
                  <v>0.02852640000833473</v>
                </pt>
                <pt idx="144">
                  <v>0.03179896906681406</v>
                </pt>
                <pt idx="145">
                  <v>0.03158964890912819</v>
                </pt>
                <pt idx="146">
                  <v>0.02787753126325104</v>
                </pt>
                <pt idx="147">
                  <v>0.03076834216537389</v>
                </pt>
                <pt idx="148">
                  <v>0.02905544615921579</v>
                </pt>
                <pt idx="149">
                  <v>0.02913040941077238</v>
                </pt>
                <pt idx="150">
                  <v>0.02891570335889354</v>
                </pt>
                <pt idx="151">
                  <v>0.02961154348139605</v>
                </pt>
                <pt idx="152">
                  <v>0.02970464430962527</v>
                </pt>
                <pt idx="153">
                  <v>0.02970882018100862</v>
                </pt>
                <pt idx="154">
                  <v>0.0289894082765576</v>
                </pt>
                <pt idx="155">
                  <v>0.02547891179172912</v>
                </pt>
                <pt idx="156">
                  <v>0.02346260329781563</v>
                </pt>
                <pt idx="157">
                  <v>0.02085115270738758</v>
                </pt>
                <pt idx="158">
                  <v>0.01903757883547558</v>
                </pt>
                <pt idx="159">
                  <v>0.01160062476745916</v>
                </pt>
                <pt idx="160">
                  <v>0.01489539988078648</v>
                </pt>
                <pt idx="161">
                  <v>0.0135813681533945</v>
                </pt>
                <pt idx="162">
                  <v>0.01385376059131599</v>
                </pt>
                <pt idx="163">
                  <v>0.01084656882681745</v>
                </pt>
                <pt idx="164">
                  <v>0.007841498029911242</v>
                </pt>
                <pt idx="165">
                  <v>0.01273156635424993</v>
                </pt>
                <pt idx="166">
                  <v>0.01072084659886785</v>
                </pt>
                <pt idx="167">
                  <v>0.008994053544844505</v>
                </pt>
                <pt idx="168">
                  <v>0.01228952038568387</v>
                </pt>
                <pt idx="169">
                  <v>0.01178408017493449</v>
                </pt>
                <pt idx="170">
                  <v>0.01197601391675268</v>
                </pt>
                <pt idx="171">
                  <v>0.01266924238682565</v>
                </pt>
                <pt idx="172">
                  <v>0.01173999588372088</v>
                </pt>
                <pt idx="173">
                  <v>0.0147297719119352</v>
                </pt>
                <pt idx="174">
                  <v>0.009718638758113796</v>
                </pt>
                <pt idx="175">
                  <v>0.01360852296950421</v>
                </pt>
                <pt idx="176">
                  <v>0.01329846283836261</v>
                </pt>
                <pt idx="177">
                  <v>0.01295813593218353</v>
                </pt>
                <pt idx="178">
                  <v>0.01214859353514547</v>
                </pt>
                <pt idx="179">
                  <v>0.01063782205617109</v>
                </pt>
                <pt idx="180">
                  <v>0.01262634195645479</v>
                </pt>
                <pt idx="181">
                  <v>0.01249870181522483</v>
                </pt>
                <pt idx="182">
                  <v>0.0137885237306814</v>
                </pt>
                <pt idx="183">
                  <v>0.0135788858206079</v>
                </pt>
                <pt idx="184">
                  <v>0.01006981167391735</v>
                </pt>
                <pt idx="185">
                  <v>0.00776144781093363</v>
                </pt>
                <pt idx="186">
                  <v>0.00743500978456535</v>
                </pt>
                <pt idx="187">
                  <v>0.009026201045214288</v>
                </pt>
                <pt idx="188">
                  <v>-0.000982937303985465</v>
                </pt>
                <pt idx="189">
                  <v>-0.00119148398398361</v>
                </pt>
                <pt idx="190">
                  <v>-0.001625727756677076</v>
                </pt>
                <pt idx="191">
                  <v>-0.004534502588763978</v>
                </pt>
                <pt idx="192">
                  <v>-0.004243551497520814</v>
                </pt>
                <pt idx="193">
                  <v>-0.006352173891591428</v>
                </pt>
                <pt idx="194">
                  <v>-0.008060877239426278</v>
                </pt>
                <pt idx="195">
                  <v>0.01138672038743616</v>
                </pt>
                <pt idx="196">
                  <v>0.01228227732425302</v>
                </pt>
                <pt idx="197">
                  <v>0.01168647202187617</v>
                </pt>
                <pt idx="198">
                  <v>0.009892880333885357</v>
                </pt>
                <pt idx="199">
                  <v>0.01309812267492011</v>
                </pt>
                <pt idx="200">
                  <v>0.008326381034794328</v>
                </pt>
                <pt idx="201">
                  <v>0.006334805682771782</v>
                </pt>
                <pt idx="202">
                  <v>0.002851747839208607</v>
                </pt>
                <pt idx="203">
                  <v>-0.001130608233513186</v>
                </pt>
                <pt idx="204">
                  <v>-0.001125162736489105</v>
                </pt>
                <pt idx="205">
                  <v>0.002412995100648962</v>
                </pt>
                <pt idx="206">
                  <v>-0.0025736767716249</v>
                </pt>
                <pt idx="207">
                  <v>-0.004065587595694531</v>
                </pt>
                <pt idx="208">
                  <v>-0.007558485179823549</v>
                </pt>
                <pt idx="209">
                  <v>-0.01054294072943102</v>
                </pt>
                <pt idx="210">
                  <v>-0.008014520524197821</v>
                </pt>
                <pt idx="211">
                  <v>-0.01050356118736862</v>
                </pt>
                <pt idx="212">
                  <v>-0.008088919653497617</v>
                </pt>
                <pt idx="213">
                  <v>-0.009274969266672428</v>
                </pt>
                <pt idx="214">
                  <v>-0.01186170083995242</v>
                </pt>
                <pt idx="215">
                  <v>-0.01142860354128544</v>
                </pt>
                <pt idx="216">
                  <v>-0.009618786565186332</v>
                </pt>
                <pt idx="217">
                  <v>-0.01011134414206788</v>
                </pt>
                <pt idx="218">
                  <v>-0.0109024785679035</v>
                </pt>
                <pt idx="219">
                  <v>-0.009891202104073127</v>
                </pt>
                <pt idx="220">
                  <v>-0.01026268496267535</v>
                </pt>
                <pt idx="221">
                  <v>-0.01135331713391402</v>
                </pt>
                <pt idx="222">
                  <v>-0.0168425203916327</v>
                </pt>
                <pt idx="223">
                  <v>-0.01693479479908128</v>
                </pt>
                <pt idx="224">
                  <v>-0.01630106889112543</v>
                </pt>
                <pt idx="225">
                  <v>-0.01409981578702263</v>
                </pt>
                <pt idx="226">
                  <v>-0.0118883312018403</v>
                </pt>
                <pt idx="227">
                  <v>-0.01267836532567562</v>
                </pt>
                <pt idx="228">
                  <v>-0.01306681101265222</v>
                </pt>
                <pt idx="229">
                  <v>-0.01173337347910469</v>
                </pt>
                <pt idx="230">
                  <v>-0.01422482577848044</v>
                </pt>
                <pt idx="231">
                  <v>-0.01741668988542733</v>
                </pt>
                <pt idx="232">
                  <v>-0.01600940861334893</v>
                </pt>
                <pt idx="233">
                  <v>-0.01570126407799682</v>
                </pt>
                <pt idx="234">
                  <v>-0.01698393229997319</v>
                </pt>
                <pt idx="235">
                  <v>-0.01607552818067576</v>
                </pt>
                <pt idx="236">
                  <v>-0.01486738126972048</v>
                </pt>
                <pt idx="237">
                  <v>-0.01365895249468929</v>
                </pt>
                <pt idx="238">
                  <v>-0.01405014389293852</v>
                </pt>
                <pt idx="239">
                  <v>-0.01602336222711004</v>
                </pt>
                <pt idx="240">
                  <v>-0.01361528407096935</v>
                </pt>
                <pt idx="241">
                  <v>-0.009606583736494867</v>
                </pt>
                <pt idx="242">
                  <v>-0.01209708338576082</v>
                </pt>
                <pt idx="243">
                  <v>-0.0105873531137442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94556831"/>
        <axId val="1394557663"/>
      </lineChart>
      <catAx>
        <axId val="1394556831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94557663"/>
        <crosses val="autoZero"/>
        <auto val="1"/>
        <lblAlgn val="ctr"/>
        <lblOffset val="100"/>
        <noMultiLvlLbl val="0"/>
      </catAx>
      <valAx>
        <axId val="13945576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394556831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pivotSource>
    <name>[Bonos en dolares.xlsm]g30-30!TablaDinámica2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t>None</a:t>
            </a:r>
            <a:endParaRPr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ivotFmts>
      <pivotFmt>
        <idx val="0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spPr>
          <a:ln xmlns:a="http://schemas.openxmlformats.org/drawingml/2006/main" w="28575" cap="rnd">
            <a:solidFill>
              <a:schemeClr val="accent1"/>
            </a:solidFill>
            <a:prstDash val="solid"/>
            <a:round/>
          </a:ln>
        </spPr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/>
      <lineChart>
        <grouping val="standard"/>
        <varyColors val="0"/>
        <ser>
          <idx val="0"/>
          <order val="0"/>
          <tx>
            <strRef>
              <f>'g30-30'!$B$1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'g30-30'!$A$2:$A$254</f>
              <strCache>
                <ptCount val="252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14/9/2020</v>
                </pt>
                <pt idx="8">
                  <v>15/9/2020</v>
                </pt>
                <pt idx="9">
                  <v>16/9/2020</v>
                </pt>
                <pt idx="10">
                  <v>17/9/2020</v>
                </pt>
                <pt idx="11">
                  <v>18/9/2020</v>
                </pt>
                <pt idx="12">
                  <v>21/9/2020</v>
                </pt>
                <pt idx="13">
                  <v>22/9/2020</v>
                </pt>
                <pt idx="14">
                  <v>23/9/2020</v>
                </pt>
                <pt idx="15">
                  <v>24/9/2020</v>
                </pt>
                <pt idx="16">
                  <v>25/9/2020</v>
                </pt>
                <pt idx="17">
                  <v>28/9/2020</v>
                </pt>
                <pt idx="18">
                  <v>29/9/2020</v>
                </pt>
                <pt idx="19">
                  <v>30/9/2020</v>
                </pt>
                <pt idx="20">
                  <v>1/10/2020</v>
                </pt>
                <pt idx="21">
                  <v>2/10/2020</v>
                </pt>
                <pt idx="22">
                  <v>5/10/2020</v>
                </pt>
                <pt idx="23">
                  <v>6/10/2020</v>
                </pt>
                <pt idx="24">
                  <v>7/10/2020</v>
                </pt>
                <pt idx="25">
                  <v>8/10/2020</v>
                </pt>
                <pt idx="26">
                  <v>9/10/2020</v>
                </pt>
                <pt idx="27">
                  <v>13/10/2020</v>
                </pt>
                <pt idx="28">
                  <v>14/10/2020</v>
                </pt>
                <pt idx="29">
                  <v>15/10/2020</v>
                </pt>
                <pt idx="30">
                  <v>16/10/2020</v>
                </pt>
                <pt idx="31">
                  <v>19/10/2020</v>
                </pt>
                <pt idx="32">
                  <v>20/10/2020</v>
                </pt>
                <pt idx="33">
                  <v>21/10/2020</v>
                </pt>
                <pt idx="34">
                  <v>22/10/2020</v>
                </pt>
                <pt idx="35">
                  <v>23/10/2020</v>
                </pt>
                <pt idx="36">
                  <v>26/10/2020</v>
                </pt>
                <pt idx="37">
                  <v>27/10/2020</v>
                </pt>
                <pt idx="38">
                  <v>28/10/2020</v>
                </pt>
                <pt idx="39">
                  <v>29/10/2020</v>
                </pt>
                <pt idx="40">
                  <v>30/10/2020</v>
                </pt>
                <pt idx="41">
                  <v>2/11/2020</v>
                </pt>
                <pt idx="42">
                  <v>3/11/2020</v>
                </pt>
                <pt idx="43">
                  <v>4/11/2020</v>
                </pt>
                <pt idx="44">
                  <v>5/11/2020</v>
                </pt>
                <pt idx="45">
                  <v>6/11/2020</v>
                </pt>
                <pt idx="46">
                  <v>9/11/2020</v>
                </pt>
                <pt idx="47">
                  <v>10/11/2020</v>
                </pt>
                <pt idx="48">
                  <v>11/11/2020</v>
                </pt>
                <pt idx="49">
                  <v>12/11/2020</v>
                </pt>
                <pt idx="50">
                  <v>13/11/2020</v>
                </pt>
                <pt idx="51">
                  <v>16/11/2020</v>
                </pt>
                <pt idx="52">
                  <v>17/11/2020</v>
                </pt>
                <pt idx="53">
                  <v>18/11/2020</v>
                </pt>
                <pt idx="54">
                  <v>19/11/2020</v>
                </pt>
                <pt idx="55">
                  <v>20/11/2020</v>
                </pt>
                <pt idx="56">
                  <v>24/11/2020</v>
                </pt>
                <pt idx="57">
                  <v>25/11/2020</v>
                </pt>
                <pt idx="58">
                  <v>26/11/2020</v>
                </pt>
                <pt idx="59">
                  <v>27/11/2020</v>
                </pt>
                <pt idx="60">
                  <v>30/11/2020</v>
                </pt>
                <pt idx="61">
                  <v>1/12/2020</v>
                </pt>
                <pt idx="62">
                  <v>2/12/2020</v>
                </pt>
                <pt idx="63">
                  <v>3/12/2020</v>
                </pt>
                <pt idx="64">
                  <v>4/12/2020</v>
                </pt>
                <pt idx="65">
                  <v>9/12/2020</v>
                </pt>
                <pt idx="66">
                  <v>10/12/2020</v>
                </pt>
                <pt idx="67">
                  <v>11/12/2020</v>
                </pt>
                <pt idx="68">
                  <v>14/12/2020</v>
                </pt>
                <pt idx="69">
                  <v>15/12/2020</v>
                </pt>
                <pt idx="70">
                  <v>16/12/2020</v>
                </pt>
                <pt idx="71">
                  <v>17/12/2020</v>
                </pt>
                <pt idx="72">
                  <v>18/12/2020</v>
                </pt>
                <pt idx="73">
                  <v>21/12/2020</v>
                </pt>
                <pt idx="74">
                  <v>22/12/2020</v>
                </pt>
                <pt idx="75">
                  <v>23/12/2020</v>
                </pt>
                <pt idx="76">
                  <v>28/12/2020</v>
                </pt>
                <pt idx="77">
                  <v>29/12/2020</v>
                </pt>
                <pt idx="78">
                  <v>30/12/2020</v>
                </pt>
                <pt idx="79">
                  <v>4/1/2021</v>
                </pt>
                <pt idx="80">
                  <v>5/1/2021</v>
                </pt>
                <pt idx="81">
                  <v>6/1/2021</v>
                </pt>
                <pt idx="82">
                  <v>7/1/2021</v>
                </pt>
                <pt idx="83">
                  <v>8/1/2021</v>
                </pt>
                <pt idx="84">
                  <v>11/1/2021</v>
                </pt>
                <pt idx="85">
                  <v>12/1/2021</v>
                </pt>
                <pt idx="86">
                  <v>13/1/2021</v>
                </pt>
                <pt idx="87">
                  <v>14/1/2021</v>
                </pt>
                <pt idx="88">
                  <v>15/1/2021</v>
                </pt>
                <pt idx="89">
                  <v>18/1/2021</v>
                </pt>
                <pt idx="90">
                  <v>19/1/2021</v>
                </pt>
                <pt idx="91">
                  <v>20/1/2021</v>
                </pt>
                <pt idx="92">
                  <v>21/1/2021</v>
                </pt>
                <pt idx="93">
                  <v>22/1/2021</v>
                </pt>
                <pt idx="94">
                  <v>25/1/2021</v>
                </pt>
                <pt idx="95">
                  <v>26/1/2021</v>
                </pt>
                <pt idx="96">
                  <v>27/1/2021</v>
                </pt>
                <pt idx="97">
                  <v>28/1/2021</v>
                </pt>
                <pt idx="98">
                  <v>29/1/2021</v>
                </pt>
                <pt idx="99">
                  <v>1/2/2021</v>
                </pt>
                <pt idx="100">
                  <v>2/2/2021</v>
                </pt>
                <pt idx="101">
                  <v>3/2/2021</v>
                </pt>
                <pt idx="102">
                  <v>4/2/2021</v>
                </pt>
                <pt idx="103">
                  <v>5/2/2021</v>
                </pt>
                <pt idx="104">
                  <v>8/2/2021</v>
                </pt>
                <pt idx="105">
                  <v>9/2/2021</v>
                </pt>
                <pt idx="106">
                  <v>10/2/2021</v>
                </pt>
                <pt idx="107">
                  <v>11/2/2021</v>
                </pt>
                <pt idx="108">
                  <v>12/2/2021</v>
                </pt>
                <pt idx="109">
                  <v>17/2/2021</v>
                </pt>
                <pt idx="110">
                  <v>18/2/2021</v>
                </pt>
                <pt idx="111">
                  <v>19/2/2021</v>
                </pt>
                <pt idx="112">
                  <v>22/2/2021</v>
                </pt>
                <pt idx="113">
                  <v>23/2/2021</v>
                </pt>
                <pt idx="114">
                  <v>24/2/2021</v>
                </pt>
                <pt idx="115">
                  <v>25/2/2021</v>
                </pt>
                <pt idx="116">
                  <v>26/2/2021</v>
                </pt>
                <pt idx="117">
                  <v>1/3/2021</v>
                </pt>
                <pt idx="118">
                  <v>2/3/2021</v>
                </pt>
                <pt idx="119">
                  <v>3/3/2021</v>
                </pt>
                <pt idx="120">
                  <v>4/3/2021</v>
                </pt>
                <pt idx="121">
                  <v>5/3/2021</v>
                </pt>
                <pt idx="122">
                  <v>8/3/2021</v>
                </pt>
                <pt idx="123">
                  <v>9/3/2021</v>
                </pt>
                <pt idx="124">
                  <v>10/3/2021</v>
                </pt>
                <pt idx="125">
                  <v>11/3/2021</v>
                </pt>
                <pt idx="126">
                  <v>12/3/2021</v>
                </pt>
                <pt idx="127">
                  <v>15/3/2021</v>
                </pt>
                <pt idx="128">
                  <v>16/3/2021</v>
                </pt>
                <pt idx="129">
                  <v>17/3/2021</v>
                </pt>
                <pt idx="130">
                  <v>18/3/2021</v>
                </pt>
                <pt idx="131">
                  <v>19/3/2021</v>
                </pt>
                <pt idx="132">
                  <v>22/3/2021</v>
                </pt>
                <pt idx="133">
                  <v>23/3/2021</v>
                </pt>
                <pt idx="134">
                  <v>25/3/2021</v>
                </pt>
                <pt idx="135">
                  <v>26/3/2021</v>
                </pt>
                <pt idx="136">
                  <v>29/3/2021</v>
                </pt>
                <pt idx="137">
                  <v>30/3/2021</v>
                </pt>
                <pt idx="138">
                  <v>31/3/2021</v>
                </pt>
                <pt idx="139">
                  <v>5/4/2021</v>
                </pt>
                <pt idx="140">
                  <v>6/4/2021</v>
                </pt>
                <pt idx="141">
                  <v>7/4/2021</v>
                </pt>
                <pt idx="142">
                  <v>8/4/2021</v>
                </pt>
                <pt idx="143">
                  <v>9/4/2021</v>
                </pt>
                <pt idx="144">
                  <v>12/4/2021</v>
                </pt>
                <pt idx="145">
                  <v>13/4/2021</v>
                </pt>
                <pt idx="146">
                  <v>14/4/2021</v>
                </pt>
                <pt idx="147">
                  <v>15/4/2021</v>
                </pt>
                <pt idx="148">
                  <v>16/4/2021</v>
                </pt>
                <pt idx="149">
                  <v>19/4/2021</v>
                </pt>
                <pt idx="150">
                  <v>20/4/2021</v>
                </pt>
                <pt idx="151">
                  <v>21/4/2021</v>
                </pt>
                <pt idx="152">
                  <v>22/4/2021</v>
                </pt>
                <pt idx="153">
                  <v>23/4/2021</v>
                </pt>
                <pt idx="154">
                  <v>26/4/2021</v>
                </pt>
                <pt idx="155">
                  <v>27/4/2021</v>
                </pt>
                <pt idx="156">
                  <v>28/4/2021</v>
                </pt>
                <pt idx="157">
                  <v>29/4/2021</v>
                </pt>
                <pt idx="158">
                  <v>30/4/2021</v>
                </pt>
                <pt idx="159">
                  <v>3/5/2021</v>
                </pt>
                <pt idx="160">
                  <v>4/5/2021</v>
                </pt>
                <pt idx="161">
                  <v>5/5/2021</v>
                </pt>
                <pt idx="162">
                  <v>6/5/2021</v>
                </pt>
                <pt idx="163">
                  <v>7/5/2021</v>
                </pt>
                <pt idx="164">
                  <v>10/5/2021</v>
                </pt>
                <pt idx="165">
                  <v>11/5/2021</v>
                </pt>
                <pt idx="166">
                  <v>12/5/2021</v>
                </pt>
                <pt idx="167">
                  <v>13/5/2021</v>
                </pt>
                <pt idx="168">
                  <v>14/5/2021</v>
                </pt>
                <pt idx="169">
                  <v>17/5/2021</v>
                </pt>
                <pt idx="170">
                  <v>18/5/2021</v>
                </pt>
                <pt idx="171">
                  <v>19/5/2021</v>
                </pt>
                <pt idx="172">
                  <v>20/5/2021</v>
                </pt>
                <pt idx="173">
                  <v>21/5/2021</v>
                </pt>
                <pt idx="174">
                  <v>26/5/2021</v>
                </pt>
                <pt idx="175">
                  <v>27/5/2021</v>
                </pt>
                <pt idx="176">
                  <v>28/5/2021</v>
                </pt>
                <pt idx="177">
                  <v>31/5/2021</v>
                </pt>
                <pt idx="178">
                  <v>1/6/2021</v>
                </pt>
                <pt idx="179">
                  <v>2/6/2021</v>
                </pt>
                <pt idx="180">
                  <v>3/6/2021</v>
                </pt>
                <pt idx="181">
                  <v>4/6/2021</v>
                </pt>
                <pt idx="182">
                  <v>7/6/2021</v>
                </pt>
                <pt idx="183">
                  <v>8/6/2021</v>
                </pt>
                <pt idx="184">
                  <v>9/6/2021</v>
                </pt>
                <pt idx="185">
                  <v>10/6/2021</v>
                </pt>
                <pt idx="186">
                  <v>11/6/2021</v>
                </pt>
                <pt idx="187">
                  <v>14/6/2021</v>
                </pt>
                <pt idx="188">
                  <v>15/6/2021</v>
                </pt>
                <pt idx="189">
                  <v>16/6/2021</v>
                </pt>
                <pt idx="190">
                  <v>17/6/2021</v>
                </pt>
                <pt idx="191">
                  <v>18/6/2021</v>
                </pt>
                <pt idx="192">
                  <v>22/6/2021</v>
                </pt>
                <pt idx="193">
                  <v>23/6/2021</v>
                </pt>
                <pt idx="194">
                  <v>24/6/2021</v>
                </pt>
                <pt idx="195">
                  <v>25/6/2021</v>
                </pt>
                <pt idx="196">
                  <v>28/6/2021</v>
                </pt>
                <pt idx="197">
                  <v>29/6/2021</v>
                </pt>
                <pt idx="198">
                  <v>30/6/2021</v>
                </pt>
                <pt idx="199">
                  <v>1/7/2021</v>
                </pt>
                <pt idx="200">
                  <v>2/7/2021</v>
                </pt>
                <pt idx="201">
                  <v>5/7/2021</v>
                </pt>
                <pt idx="202">
                  <v>6/7/2021</v>
                </pt>
                <pt idx="203">
                  <v>7/7/2021</v>
                </pt>
                <pt idx="204">
                  <v>8/7/2021</v>
                </pt>
                <pt idx="205">
                  <v>12/7/2021</v>
                </pt>
                <pt idx="206">
                  <v>13/7/2021</v>
                </pt>
                <pt idx="207">
                  <v>14/7/2021</v>
                </pt>
                <pt idx="208">
                  <v>15/7/2021</v>
                </pt>
                <pt idx="209">
                  <v>16/7/2021</v>
                </pt>
                <pt idx="210">
                  <v>19/7/2021</v>
                </pt>
                <pt idx="211">
                  <v>20/7/2021</v>
                </pt>
                <pt idx="212">
                  <v>21/7/2021</v>
                </pt>
                <pt idx="213">
                  <v>22/7/2021</v>
                </pt>
                <pt idx="214">
                  <v>23/7/2021</v>
                </pt>
                <pt idx="215">
                  <v>26/7/2021</v>
                </pt>
                <pt idx="216">
                  <v>27/7/2021</v>
                </pt>
                <pt idx="217">
                  <v>28/7/2021</v>
                </pt>
                <pt idx="218">
                  <v>29/7/2021</v>
                </pt>
                <pt idx="219">
                  <v>30/7/2021</v>
                </pt>
                <pt idx="220">
                  <v>1/8/2021</v>
                </pt>
                <pt idx="221">
                  <v>2/8/2021</v>
                </pt>
                <pt idx="222">
                  <v>3/8/2021</v>
                </pt>
                <pt idx="223">
                  <v>4/8/2021</v>
                </pt>
                <pt idx="224">
                  <v>5/8/2021</v>
                </pt>
                <pt idx="225">
                  <v>9/8/2021</v>
                </pt>
                <pt idx="226">
                  <v>10/8/2021</v>
                </pt>
                <pt idx="227">
                  <v>11/8/2021</v>
                </pt>
                <pt idx="228">
                  <v>12/8/2021</v>
                </pt>
                <pt idx="229">
                  <v>13/8/2021</v>
                </pt>
                <pt idx="230">
                  <v>17/8/2021</v>
                </pt>
                <pt idx="231">
                  <v>18/8/2021</v>
                </pt>
                <pt idx="232">
                  <v>19/8/2021</v>
                </pt>
                <pt idx="233">
                  <v>20/8/2021</v>
                </pt>
                <pt idx="234">
                  <v>23/8/2021</v>
                </pt>
                <pt idx="235">
                  <v>24/8/2021</v>
                </pt>
                <pt idx="236">
                  <v>25/8/2021</v>
                </pt>
                <pt idx="237">
                  <v>26/8/2021</v>
                </pt>
                <pt idx="238">
                  <v>27/8/2021</v>
                </pt>
                <pt idx="239">
                  <v>30/8/2021</v>
                </pt>
                <pt idx="240">
                  <v>31/8/2021</v>
                </pt>
                <pt idx="241">
                  <v>1/9/2021</v>
                </pt>
                <pt idx="242">
                  <v>2/9/2021</v>
                </pt>
                <pt idx="243">
                  <v>3/9/2021</v>
                </pt>
                <pt idx="244">
                  <v>6/9/2021</v>
                </pt>
                <pt idx="245">
                  <v>7/9/2021</v>
                </pt>
                <pt idx="246">
                  <v>8/9/2021</v>
                </pt>
                <pt idx="247">
                  <v>9/9/2021</v>
                </pt>
                <pt idx="248">
                  <v>10/9/2021</v>
                </pt>
                <pt idx="249">
                  <v>13/9/2021</v>
                </pt>
                <pt idx="250">
                  <v>14/9/2021</v>
                </pt>
                <pt idx="251">
                  <v>15/9/2021</v>
                </pt>
              </strCache>
            </strRef>
          </cat>
          <val>
            <numRef>
              <f>'g30-30'!$B$2:$B$254</f>
              <numCache>
                <formatCode>General</formatCode>
                <ptCount val="252"/>
                <pt idx="0">
                  <v>0.03065497166879355</v>
                </pt>
                <pt idx="1">
                  <v>0.02706039505867397</v>
                </pt>
                <pt idx="2">
                  <v>0.02117018208877591</v>
                </pt>
                <pt idx="3">
                  <v>0.01837506039099546</v>
                </pt>
                <pt idx="4">
                  <v>0.01667797938441112</v>
                </pt>
                <pt idx="5">
                  <v>0.01418175412607242</v>
                </pt>
                <pt idx="6">
                  <v>0.01198758676845818</v>
                </pt>
                <pt idx="7">
                  <v>-0.01925044610732435</v>
                </pt>
                <pt idx="8">
                  <v>-0.01134233483927921</v>
                </pt>
                <pt idx="9">
                  <v>0.0008902762689810273</v>
                </pt>
                <pt idx="10">
                  <v>-0.006998055004968085</v>
                </pt>
                <pt idx="11">
                  <v>-0.00260039572569537</v>
                </pt>
                <pt idx="12">
                  <v>-0.00418984595011257</v>
                </pt>
                <pt idx="13">
                  <v>-0.001082285063234711</v>
                </pt>
                <pt idx="14">
                  <v>-0.00299446945222942</v>
                </pt>
                <pt idx="15">
                  <v>-0.003488575468396926</v>
                </pt>
                <pt idx="16">
                  <v>0.0004196318229024443</v>
                </pt>
                <pt idx="17">
                  <v>-0.0009770551538943462</v>
                </pt>
                <pt idx="18">
                  <v>-0.002474467563176652</v>
                </pt>
                <pt idx="19">
                  <v>0.0006259891032864839</v>
                </pt>
                <pt idx="20">
                  <v>-0.003474666825374617</v>
                </pt>
                <pt idx="21">
                  <v>-0.003570392811345025</v>
                </pt>
                <pt idx="22">
                  <v>-0.009970690618634759</v>
                </pt>
                <pt idx="23">
                  <v>-0.004971768245524255</v>
                </pt>
                <pt idx="24">
                  <v>-0.00347564818537649</v>
                </pt>
                <pt idx="25">
                  <v>0.0005249347678337735</v>
                </pt>
                <pt idx="26">
                  <v>0.002424375124638833</v>
                </pt>
                <pt idx="27">
                  <v>0.002224270265864803</v>
                </pt>
                <pt idx="28">
                  <v>0.01002622367479733</v>
                </pt>
                <pt idx="29">
                  <v>0.0005281209584233615</v>
                </pt>
                <pt idx="30">
                  <v>0.0006303368494721129</v>
                </pt>
                <pt idx="31">
                  <v>0.004038712441283732</v>
                </pt>
                <pt idx="32">
                  <v>0.002759843580097399</v>
                </pt>
                <pt idx="33">
                  <v>0.002071427168780948</v>
                </pt>
                <pt idx="34">
                  <v>0.01357157751881172</v>
                </pt>
                <pt idx="35">
                  <v>0.02306934235198954</v>
                </pt>
                <pt idx="36">
                  <v>0.02228965536174771</v>
                </pt>
                <pt idx="37">
                  <v>0.01238092732921908</v>
                </pt>
                <pt idx="38">
                  <v>0.01658454297047901</v>
                </pt>
                <pt idx="39">
                  <v>0.007986803451783209</v>
                </pt>
                <pt idx="40">
                  <v>0.01759220125896666</v>
                </pt>
                <pt idx="41">
                  <v>0.0178856943181307</v>
                </pt>
                <pt idx="42">
                  <v>0.02728640105284391</v>
                </pt>
                <pt idx="43">
                  <v>0.02488672048907742</v>
                </pt>
                <pt idx="44">
                  <v>0.02619060103262921</v>
                </pt>
                <pt idx="45">
                  <v>0.02459076259722748</v>
                </pt>
                <pt idx="46">
                  <v>0.03248495689461384</v>
                </pt>
                <pt idx="47">
                  <v>0.03058476479899275</v>
                </pt>
                <pt idx="48">
                  <v>0.02657712205425994</v>
                </pt>
                <pt idx="49">
                  <v>0.02737396992373659</v>
                </pt>
                <pt idx="50">
                  <v>0.02556975369751041</v>
                </pt>
                <pt idx="51">
                  <v>0.025365722762694</v>
                </pt>
                <pt idx="52">
                  <v>0.01466927136402196</v>
                </pt>
                <pt idx="53">
                  <v>0.01627347452704608</v>
                </pt>
                <pt idx="54">
                  <v>0.0142772471947471</v>
                </pt>
                <pt idx="55">
                  <v>0.01758034353057508</v>
                </pt>
                <pt idx="56">
                  <v>0.02308066988260138</v>
                </pt>
                <pt idx="57">
                  <v>0.02357673091986673</v>
                </pt>
                <pt idx="58">
                  <v>0.02157935795715088</v>
                </pt>
                <pt idx="59">
                  <v>0.02437835486738094</v>
                </pt>
                <pt idx="60">
                  <v>0.02048354557458582</v>
                </pt>
                <pt idx="61">
                  <v>0.02158451866792677</v>
                </pt>
                <pt idx="62">
                  <v>0.01918338829783695</v>
                </pt>
                <pt idx="63">
                  <v>0.01618225094210785</v>
                </pt>
                <pt idx="64">
                  <v>0.01298576483672975</v>
                </pt>
                <pt idx="65">
                  <v>0.008381570189575638</v>
                </pt>
                <pt idx="66">
                  <v>0.00887553217307635</v>
                </pt>
                <pt idx="67">
                  <v>0.008973557317340675</v>
                </pt>
                <pt idx="68">
                  <v>0.01126756078440566</v>
                </pt>
                <pt idx="69">
                  <v>0.005872632326614835</v>
                </pt>
                <pt idx="70">
                  <v>0.009773866805371512</v>
                </pt>
                <pt idx="71">
                  <v>0.01127265326991256</v>
                </pt>
                <pt idx="72">
                  <v>0.0113685439242755</v>
                </pt>
                <pt idx="73">
                  <v>0.003665808900657985</v>
                </pt>
                <pt idx="74">
                  <v>0.004965622432910377</v>
                </pt>
                <pt idx="75">
                  <v>0.006366025896219929</v>
                </pt>
                <pt idx="76">
                  <v>0.009461709320558509</v>
                </pt>
                <pt idx="77">
                  <v>0.002164308653311575</v>
                </pt>
                <pt idx="78">
                  <v>0.006062607807088005</v>
                </pt>
                <pt idx="79">
                  <v>-0.0009303758794228512</v>
                </pt>
                <pt idx="80">
                  <v>-0.0002274851613884299</v>
                </pt>
                <pt idx="81">
                  <v>0.008070529902439449</v>
                </pt>
                <pt idx="82">
                  <v>0.01007547441266771</v>
                </pt>
                <pt idx="83">
                  <v>0.009176366629781108</v>
                </pt>
                <pt idx="84">
                  <v>0.01187995031380834</v>
                </pt>
                <pt idx="85">
                  <v>0.01267954958750189</v>
                </pt>
                <pt idx="86">
                  <v>0.003384378717505909</v>
                </pt>
                <pt idx="87">
                  <v>0.002087406985230245</v>
                </pt>
                <pt idx="88">
                  <v>0.003587345150853738</v>
                </pt>
                <pt idx="89">
                  <v>0.008383877168937015</v>
                </pt>
                <pt idx="90">
                  <v>0.01118262381587448</v>
                </pt>
                <pt idx="91">
                  <v>0.0133820635364244</v>
                </pt>
                <pt idx="92">
                  <v>0.011683370506196</v>
                </pt>
                <pt idx="93">
                  <v>0.0176804155317451</v>
                </pt>
                <pt idx="94">
                  <v>0.01768129991340534</v>
                </pt>
                <pt idx="95">
                  <v>0.01778129699113767</v>
                </pt>
                <pt idx="96">
                  <v>0.01828257849825959</v>
                </pt>
                <pt idx="97">
                  <v>0.0172847226210896</v>
                </pt>
                <pt idx="98">
                  <v>0.01858538202551308</v>
                </pt>
                <pt idx="99">
                  <v>0.02268359303837697</v>
                </pt>
                <pt idx="100">
                  <v>0.01928657134544542</v>
                </pt>
                <pt idx="101">
                  <v>0.01788926181624745</v>
                </pt>
                <pt idx="102">
                  <v>0.02038936190953294</v>
                </pt>
                <pt idx="103">
                  <v>0.02318801072516541</v>
                </pt>
                <pt idx="104">
                  <v>0.02288762150995799</v>
                </pt>
                <pt idx="105">
                  <v>0.02328870557220708</v>
                </pt>
                <pt idx="106">
                  <v>0.02169025205109149</v>
                </pt>
                <pt idx="107">
                  <v>0.02529285403023779</v>
                </pt>
                <pt idx="108">
                  <v>0.03309436200641191</v>
                </pt>
                <pt idx="109">
                  <v>0.03049858811096562</v>
                </pt>
                <pt idx="110">
                  <v>0.02259657924589475</v>
                </pt>
                <pt idx="111">
                  <v>0.02370180780008796</v>
                </pt>
                <pt idx="112">
                  <v>0.02030188315091069</v>
                </pt>
                <pt idx="113">
                  <v>0.02000836268396455</v>
                </pt>
                <pt idx="114">
                  <v>0.01990485245326851</v>
                </pt>
                <pt idx="115">
                  <v>0.01500359746816349</v>
                </pt>
                <pt idx="116">
                  <v>0.008104436843005103</v>
                </pt>
                <pt idx="117">
                  <v>0.009703371948635409</v>
                </pt>
                <pt idx="118">
                  <v>0.006310647434751626</v>
                </pt>
                <pt idx="119">
                  <v>0.007410684980279469</v>
                </pt>
                <pt idx="120">
                  <v>0.005610090005070512</v>
                </pt>
                <pt idx="121">
                  <v>0.002918459455716615</v>
                </pt>
                <pt idx="122">
                  <v>0.003418644096117474</v>
                </pt>
                <pt idx="123">
                  <v>0.0008262504533231296</v>
                </pt>
                <pt idx="124">
                  <v>0.00843863367743497</v>
                </pt>
                <pt idx="125">
                  <v>0.01103691533463397</v>
                </pt>
                <pt idx="126">
                  <v>0.008828976715464287</v>
                </pt>
                <pt idx="127">
                  <v>0.009522375303429642</v>
                </pt>
                <pt idx="128">
                  <v>0.008618274657168523</v>
                </pt>
                <pt idx="129">
                  <v>0.01041279365655084</v>
                </pt>
                <pt idx="130">
                  <v>0.007514502242087384</v>
                </pt>
                <pt idx="131">
                  <v>0.009911790201354909</v>
                </pt>
                <pt idx="132">
                  <v>0.0110057352675505</v>
                </pt>
                <pt idx="133">
                  <v>0.01041046504820398</v>
                </pt>
                <pt idx="134">
                  <v>0.009318274996963138</v>
                </pt>
                <pt idx="135">
                  <v>0.008518911769866522</v>
                </pt>
                <pt idx="136">
                  <v>0.009425085704516445</v>
                </pt>
                <pt idx="137">
                  <v>0.00763037490109203</v>
                </pt>
                <pt idx="138">
                  <v>0.009231747163489901</v>
                </pt>
                <pt idx="139">
                  <v>0.004626490221883661</v>
                </pt>
                <pt idx="140">
                  <v>0.007326814514019897</v>
                </pt>
                <pt idx="141">
                  <v>0.006827798715236477</v>
                </pt>
                <pt idx="142">
                  <v>0.009527672492032679</v>
                </pt>
                <pt idx="143">
                  <v>0.009330019500951026</v>
                </pt>
                <pt idx="144">
                  <v>0.01232266091737583</v>
                </pt>
                <pt idx="145">
                  <v>0.01531852670602113</v>
                </pt>
                <pt idx="146">
                  <v>0.01492143502182497</v>
                </pt>
                <pt idx="147">
                  <v>0.01692324094069386</v>
                </pt>
                <pt idx="148">
                  <v>0.0216200799802882</v>
                </pt>
                <pt idx="149">
                  <v>0.02081868478471727</v>
                </pt>
                <pt idx="150">
                  <v>0.01902119869449292</v>
                </pt>
                <pt idx="151">
                  <v>0.02241749226778011</v>
                </pt>
                <pt idx="152">
                  <v>0.02291680764327797</v>
                </pt>
                <pt idx="153">
                  <v>0.024017445048791</v>
                </pt>
                <pt idx="154">
                  <v>0.0194140201707203</v>
                </pt>
                <pt idx="155">
                  <v>0.01851065290985948</v>
                </pt>
                <pt idx="156">
                  <v>0.01571181014233863</v>
                </pt>
                <pt idx="157">
                  <v>0.01481376694529396</v>
                </pt>
                <pt idx="158">
                  <v>0.02011010766683746</v>
                </pt>
                <pt idx="159">
                  <v>0.01851102326035109</v>
                </pt>
                <pt idx="160">
                  <v>0.01891126382879321</v>
                </pt>
                <pt idx="161">
                  <v>0.01741330669341229</v>
                </pt>
                <pt idx="162">
                  <v>0.0172162813871633</v>
                </pt>
                <pt idx="163">
                  <v>0.0198190128692089</v>
                </pt>
                <pt idx="164">
                  <v>0.02041723895010361</v>
                </pt>
                <pt idx="165">
                  <v>0.0204233238274294</v>
                </pt>
                <pt idx="166">
                  <v>0.02251836768432025</v>
                </pt>
                <pt idx="167">
                  <v>0.02191764426086057</v>
                </pt>
                <pt idx="168">
                  <v>0.02320721062593611</v>
                </pt>
                <pt idx="169">
                  <v>0.02639769076186482</v>
                </pt>
                <pt idx="170">
                  <v>0.02639760173590971</v>
                </pt>
                <pt idx="171">
                  <v>0.027902867006456</v>
                </pt>
                <pt idx="172">
                  <v>0.03170246881150984</v>
                </pt>
                <pt idx="173">
                  <v>0.03060737526364471</v>
                </pt>
                <pt idx="174">
                  <v>0.0325938988386737</v>
                </pt>
                <pt idx="175">
                  <v>0.03009384473296051</v>
                </pt>
                <pt idx="176">
                  <v>0.03159565616320115</v>
                </pt>
                <pt idx="177">
                  <v>0.03239512432775393</v>
                </pt>
                <pt idx="178">
                  <v>0.03159257690169742</v>
                </pt>
                <pt idx="179">
                  <v>0.03168495119034137</v>
                </pt>
                <pt idx="180">
                  <v>0.0276912459551224</v>
                </pt>
                <pt idx="181">
                  <v>0.03228894594962645</v>
                </pt>
                <pt idx="182">
                  <v>0.02988400631809768</v>
                </pt>
                <pt idx="183">
                  <v>0.02897924864622292</v>
                </pt>
                <pt idx="184">
                  <v>0.02777361778945109</v>
                </pt>
                <pt idx="185">
                  <v>0.02447330243416485</v>
                </pt>
                <pt idx="186">
                  <v>0.02257155286278217</v>
                </pt>
                <pt idx="187">
                  <v>0.02277113034842665</v>
                </pt>
                <pt idx="188">
                  <v>0.02227408874090248</v>
                </pt>
                <pt idx="189">
                  <v>0.02077654746967822</v>
                </pt>
                <pt idx="190">
                  <v>0.02108074308138219</v>
                </pt>
                <pt idx="191">
                  <v>0.02368054112041762</v>
                </pt>
                <pt idx="192">
                  <v>0.02059022414167627</v>
                </pt>
                <pt idx="193">
                  <v>0.02338850538452847</v>
                </pt>
                <pt idx="194">
                  <v>0.02409344760200754</v>
                </pt>
                <pt idx="195">
                  <v>0.02480336986883891</v>
                </pt>
                <pt idx="196">
                  <v>0.02640296726993602</v>
                </pt>
                <pt idx="197">
                  <v>0.03210445218734909</v>
                </pt>
                <pt idx="198">
                  <v>0.03620245485974494</v>
                </pt>
                <pt idx="199">
                  <v>0.0370028844456638</v>
                </pt>
                <pt idx="200">
                  <v>0.03120601385811322</v>
                </pt>
                <pt idx="201">
                  <v>0.03610332516143322</v>
                </pt>
                <pt idx="202">
                  <v>0.03210772210189139</v>
                </pt>
                <pt idx="203">
                  <v>0.03210771953957187</v>
                </pt>
                <pt idx="204">
                  <v>0.02950929886019993</v>
                </pt>
                <pt idx="205">
                  <v>0.02770626722760122</v>
                </pt>
                <pt idx="206">
                  <v>0.02620290672244469</v>
                </pt>
                <pt idx="207">
                  <v>0.02569975150991982</v>
                </pt>
                <pt idx="208">
                  <v>0.022201327494487</v>
                </pt>
                <pt idx="209">
                  <v>0.02179871729431954</v>
                </pt>
                <pt idx="210">
                  <v>0.02149596266010262</v>
                </pt>
                <pt idx="211">
                  <v>0.01999382605470951</v>
                </pt>
                <pt idx="212">
                  <v>0.02029204995477024</v>
                </pt>
                <pt idx="213">
                  <v>0.02238987356340155</v>
                </pt>
                <pt idx="214">
                  <v>0.0262856877712499</v>
                </pt>
                <pt idx="215">
                  <v>0.02338930217388474</v>
                </pt>
                <pt idx="216">
                  <v>0.02458893743315077</v>
                </pt>
                <pt idx="217">
                  <v>0.02638799524914859</v>
                </pt>
                <pt idx="218">
                  <v>0.02728795068656598</v>
                </pt>
                <pt idx="219">
                  <v>0.02908624468998994</v>
                </pt>
                <pt idx="220">
                  <v>0.03178392701475258</v>
                </pt>
                <pt idx="221">
                  <v>0.03328412044918388</v>
                </pt>
                <pt idx="222">
                  <v>0.0333858018964458</v>
                </pt>
                <pt idx="223">
                  <v>0.03468652753181034</v>
                </pt>
                <pt idx="224">
                  <v>0.03388966508860713</v>
                </pt>
                <pt idx="225">
                  <v>0.03189016097817382</v>
                </pt>
                <pt idx="226">
                  <v>0.03298611560432341</v>
                </pt>
                <pt idx="227">
                  <v>0.0312860901279019</v>
                </pt>
                <pt idx="228">
                  <v>0.0341809815748374</v>
                </pt>
                <pt idx="229">
                  <v>0.0363842071804274</v>
                </pt>
                <pt idx="230">
                  <v>0.03088868989214694</v>
                </pt>
                <pt idx="231">
                  <v>0.03099016216071104</v>
                </pt>
                <pt idx="232">
                  <v>0.02609435009835981</v>
                </pt>
                <pt idx="233">
                  <v>0.0267933132808843</v>
                </pt>
                <pt idx="234">
                  <v>0.03448379826754167</v>
                </pt>
                <pt idx="235">
                  <v>0.04157365773304617</v>
                </pt>
                <pt idx="236">
                  <v>0.04077470573928693</v>
                </pt>
                <pt idx="237">
                  <v>0.03837697633270593</v>
                </pt>
                <pt idx="238">
                  <v>0.03927351486293029</v>
                </pt>
                <pt idx="239">
                  <v>0.0414663631934164</v>
                </pt>
                <pt idx="240">
                  <v>0.03966527716190094</v>
                </pt>
                <pt idx="241">
                  <v>0.03756171463976427</v>
                </pt>
                <pt idx="242">
                  <v>0.0344593089765492</v>
                </pt>
                <pt idx="243">
                  <v>0.0325598748198303</v>
                </pt>
                <pt idx="244">
                  <v>0.03585389575142389</v>
                </pt>
                <pt idx="245">
                  <v>0.03325611076710477</v>
                </pt>
                <pt idx="246">
                  <v>0.02516691281897354</v>
                </pt>
                <pt idx="247">
                  <v>0.02316990284951498</v>
                </pt>
                <pt idx="248">
                  <v>0.01777735015302317</v>
                </pt>
                <pt idx="249">
                  <v>0.0309522461530255</v>
                </pt>
                <pt idx="250">
                  <v>0.02785783497080424</v>
                </pt>
                <pt idx="251">
                  <v>0.03205347714933982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827226720"/>
        <axId val="1827218400"/>
      </lineChart>
      <catAx>
        <axId val="1827226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27218400"/>
        <crosses val="autoZero"/>
        <auto val="1"/>
        <lblAlgn val="ctr"/>
        <lblOffset val="100"/>
        <noMultiLvlLbl val="0"/>
      </catAx>
      <valAx>
        <axId val="18272184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827226720"/>
        <crosses val="autoZero"/>
        <crossBetween val="between"/>
      </valAx>
    </plotArea>
    <legend>
      <legendPos val="r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pivotSource>
    <name>[Bonos en dolares.xlsm]30-41!Tabla dinámica4</name>
    <fmtId val="0"/>
  </pivotSource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None</a:t>
            </a:r>
          </a:p>
        </rich>
      </tx>
      <overlay val="0"/>
    </title>
    <pivotFmts>
      <pivotFmt>
        <idx val="0"/>
        <marker>
          <symbol val="none"/>
          <spPr>
            <a:ln xmlns:a="http://schemas.openxmlformats.org/drawingml/2006/main">
              <a:prstDash val="solid"/>
            </a:ln>
          </spPr>
        </marker>
      </pivotFmt>
      <pivotFmt>
        <idx val="1"/>
        <marker>
          <symbol val="none"/>
          <spPr>
            <a:ln xmlns:a="http://schemas.openxmlformats.org/drawingml/2006/main">
              <a:prstDash val="solid"/>
            </a:ln>
          </spPr>
        </marker>
      </pivotFmt>
    </pivotFmts>
    <plotArea>
      <layout>
        <manualLayout>
          <layoutTarget val="inner"/>
          <xMode val="edge"/>
          <yMode val="edge"/>
          <wMode val="factor"/>
          <hMode val="factor"/>
          <x val="0.03685412621455601"/>
          <y val="0.1656146897300488"/>
          <w val="0.9348199856258512"/>
          <h val="0.7445907514572727"/>
        </manualLayout>
      </layout>
      <lineChart>
        <grouping val="standard"/>
        <varyColors val="0"/>
        <ser>
          <idx val="0"/>
          <order val="0"/>
          <tx>
            <strRef>
              <f>'30-41'!$B$1</f>
              <strCache>
                <ptCount val="1"/>
                <pt idx="0">
                  <v>Total</v>
                </pt>
              </strCache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strRef>
              <f>'30-41'!$A$2:$A$246</f>
              <strCache>
                <ptCount val="244"/>
                <pt idx="0">
                  <v>16/09/2021</v>
                </pt>
                <pt idx="1">
                  <v>17/09/2021</v>
                </pt>
                <pt idx="2">
                  <v>20/09/2021</v>
                </pt>
                <pt idx="3">
                  <v>21/09/2021</v>
                </pt>
                <pt idx="4">
                  <v>22/09/2021</v>
                </pt>
                <pt idx="5">
                  <v>23/09/2021</v>
                </pt>
                <pt idx="6">
                  <v>24/09/2021</v>
                </pt>
                <pt idx="7">
                  <v>24/9/2020</v>
                </pt>
                <pt idx="8">
                  <v>25/9/2020</v>
                </pt>
                <pt idx="9">
                  <v>28/9/2020</v>
                </pt>
                <pt idx="10">
                  <v>29/9/2020</v>
                </pt>
                <pt idx="11">
                  <v>30/9/2020</v>
                </pt>
                <pt idx="12">
                  <v>1/10/2020</v>
                </pt>
                <pt idx="13">
                  <v>2/10/2020</v>
                </pt>
                <pt idx="14">
                  <v>5/10/2020</v>
                </pt>
                <pt idx="15">
                  <v>6/10/2020</v>
                </pt>
                <pt idx="16">
                  <v>7/10/2020</v>
                </pt>
                <pt idx="17">
                  <v>8/10/2020</v>
                </pt>
                <pt idx="18">
                  <v>9/10/2020</v>
                </pt>
                <pt idx="19">
                  <v>13/10/2020</v>
                </pt>
                <pt idx="20">
                  <v>14/10/2020</v>
                </pt>
                <pt idx="21">
                  <v>15/10/2020</v>
                </pt>
                <pt idx="22">
                  <v>16/10/2020</v>
                </pt>
                <pt idx="23">
                  <v>19/10/2020</v>
                </pt>
                <pt idx="24">
                  <v>20/10/2020</v>
                </pt>
                <pt idx="25">
                  <v>21/10/2020</v>
                </pt>
                <pt idx="26">
                  <v>22/10/2020</v>
                </pt>
                <pt idx="27">
                  <v>23/10/2020</v>
                </pt>
                <pt idx="28">
                  <v>26/10/2020</v>
                </pt>
                <pt idx="29">
                  <v>27/10/2020</v>
                </pt>
                <pt idx="30">
                  <v>28/10/2020</v>
                </pt>
                <pt idx="31">
                  <v>29/10/2020</v>
                </pt>
                <pt idx="32">
                  <v>30/10/2020</v>
                </pt>
                <pt idx="33">
                  <v>2/11/2020</v>
                </pt>
                <pt idx="34">
                  <v>3/11/2020</v>
                </pt>
                <pt idx="35">
                  <v>4/11/2020</v>
                </pt>
                <pt idx="36">
                  <v>5/11/2020</v>
                </pt>
                <pt idx="37">
                  <v>6/11/2020</v>
                </pt>
                <pt idx="38">
                  <v>9/11/2020</v>
                </pt>
                <pt idx="39">
                  <v>10/11/2020</v>
                </pt>
                <pt idx="40">
                  <v>11/11/2020</v>
                </pt>
                <pt idx="41">
                  <v>12/11/2020</v>
                </pt>
                <pt idx="42">
                  <v>13/11/2020</v>
                </pt>
                <pt idx="43">
                  <v>16/11/2020</v>
                </pt>
                <pt idx="44">
                  <v>17/11/2020</v>
                </pt>
                <pt idx="45">
                  <v>18/11/2020</v>
                </pt>
                <pt idx="46">
                  <v>19/11/2020</v>
                </pt>
                <pt idx="47">
                  <v>20/11/2020</v>
                </pt>
                <pt idx="48">
                  <v>24/11/2020</v>
                </pt>
                <pt idx="49">
                  <v>25/11/2020</v>
                </pt>
                <pt idx="50">
                  <v>26/11/2020</v>
                </pt>
                <pt idx="51">
                  <v>27/11/2020</v>
                </pt>
                <pt idx="52">
                  <v>30/11/2020</v>
                </pt>
                <pt idx="53">
                  <v>1/12/2020</v>
                </pt>
                <pt idx="54">
                  <v>2/12/2020</v>
                </pt>
                <pt idx="55">
                  <v>3/12/2020</v>
                </pt>
                <pt idx="56">
                  <v>4/12/2020</v>
                </pt>
                <pt idx="57">
                  <v>9/12/2020</v>
                </pt>
                <pt idx="58">
                  <v>10/12/2020</v>
                </pt>
                <pt idx="59">
                  <v>11/12/2020</v>
                </pt>
                <pt idx="60">
                  <v>14/12/2020</v>
                </pt>
                <pt idx="61">
                  <v>15/12/2020</v>
                </pt>
                <pt idx="62">
                  <v>16/12/2020</v>
                </pt>
                <pt idx="63">
                  <v>17/12/2020</v>
                </pt>
                <pt idx="64">
                  <v>18/12/2020</v>
                </pt>
                <pt idx="65">
                  <v>21/12/2020</v>
                </pt>
                <pt idx="66">
                  <v>22/12/2020</v>
                </pt>
                <pt idx="67">
                  <v>23/12/2020</v>
                </pt>
                <pt idx="68">
                  <v>28/12/2020</v>
                </pt>
                <pt idx="69">
                  <v>29/12/2020</v>
                </pt>
                <pt idx="70">
                  <v>30/12/2020</v>
                </pt>
                <pt idx="71">
                  <v>4/1/2021</v>
                </pt>
                <pt idx="72">
                  <v>5/1/2021</v>
                </pt>
                <pt idx="73">
                  <v>6/1/2021</v>
                </pt>
                <pt idx="74">
                  <v>7/1/2021</v>
                </pt>
                <pt idx="75">
                  <v>8/1/2021</v>
                </pt>
                <pt idx="76">
                  <v>11/1/2021</v>
                </pt>
                <pt idx="77">
                  <v>12/1/2021</v>
                </pt>
                <pt idx="78">
                  <v>13/1/2021</v>
                </pt>
                <pt idx="79">
                  <v>14/1/2021</v>
                </pt>
                <pt idx="80">
                  <v>15/1/2021</v>
                </pt>
                <pt idx="81">
                  <v>18/1/2021</v>
                </pt>
                <pt idx="82">
                  <v>19/1/2021</v>
                </pt>
                <pt idx="83">
                  <v>20/1/2021</v>
                </pt>
                <pt idx="84">
                  <v>21/1/2021</v>
                </pt>
                <pt idx="85">
                  <v>22/1/2021</v>
                </pt>
                <pt idx="86">
                  <v>25/1/2021</v>
                </pt>
                <pt idx="87">
                  <v>26/1/2021</v>
                </pt>
                <pt idx="88">
                  <v>27/1/2021</v>
                </pt>
                <pt idx="89">
                  <v>28/1/2021</v>
                </pt>
                <pt idx="90">
                  <v>29/1/2021</v>
                </pt>
                <pt idx="91">
                  <v>1/2/2021</v>
                </pt>
                <pt idx="92">
                  <v>2/2/2021</v>
                </pt>
                <pt idx="93">
                  <v>3/2/2021</v>
                </pt>
                <pt idx="94">
                  <v>4/2/2021</v>
                </pt>
                <pt idx="95">
                  <v>5/2/2021</v>
                </pt>
                <pt idx="96">
                  <v>8/2/2021</v>
                </pt>
                <pt idx="97">
                  <v>9/2/2021</v>
                </pt>
                <pt idx="98">
                  <v>10/2/2021</v>
                </pt>
                <pt idx="99">
                  <v>11/2/2021</v>
                </pt>
                <pt idx="100">
                  <v>12/2/2021</v>
                </pt>
                <pt idx="101">
                  <v>17/2/2021</v>
                </pt>
                <pt idx="102">
                  <v>18/2/2021</v>
                </pt>
                <pt idx="103">
                  <v>19/2/2021</v>
                </pt>
                <pt idx="104">
                  <v>22/2/2021</v>
                </pt>
                <pt idx="105">
                  <v>23/2/2021</v>
                </pt>
                <pt idx="106">
                  <v>24/2/2021</v>
                </pt>
                <pt idx="107">
                  <v>25/2/2021</v>
                </pt>
                <pt idx="108">
                  <v>26/2/2021</v>
                </pt>
                <pt idx="109">
                  <v>1/3/2021</v>
                </pt>
                <pt idx="110">
                  <v>2/3/2021</v>
                </pt>
                <pt idx="111">
                  <v>3/3/2021</v>
                </pt>
                <pt idx="112">
                  <v>4/3/2021</v>
                </pt>
                <pt idx="113">
                  <v>5/3/2021</v>
                </pt>
                <pt idx="114">
                  <v>8/3/2021</v>
                </pt>
                <pt idx="115">
                  <v>9/3/2021</v>
                </pt>
                <pt idx="116">
                  <v>10/3/2021</v>
                </pt>
                <pt idx="117">
                  <v>11/3/2021</v>
                </pt>
                <pt idx="118">
                  <v>12/3/2021</v>
                </pt>
                <pt idx="119">
                  <v>15/3/2021</v>
                </pt>
                <pt idx="120">
                  <v>16/3/2021</v>
                </pt>
                <pt idx="121">
                  <v>17/3/2021</v>
                </pt>
                <pt idx="122">
                  <v>18/3/2021</v>
                </pt>
                <pt idx="123">
                  <v>19/3/2021</v>
                </pt>
                <pt idx="124">
                  <v>22/3/2021</v>
                </pt>
                <pt idx="125">
                  <v>23/3/2021</v>
                </pt>
                <pt idx="126">
                  <v>25/3/2021</v>
                </pt>
                <pt idx="127">
                  <v>26/3/2021</v>
                </pt>
                <pt idx="128">
                  <v>29/3/2021</v>
                </pt>
                <pt idx="129">
                  <v>30/3/2021</v>
                </pt>
                <pt idx="130">
                  <v>31/3/2021</v>
                </pt>
                <pt idx="131">
                  <v>5/4/2021</v>
                </pt>
                <pt idx="132">
                  <v>6/4/2021</v>
                </pt>
                <pt idx="133">
                  <v>7/4/2021</v>
                </pt>
                <pt idx="134">
                  <v>8/4/2021</v>
                </pt>
                <pt idx="135">
                  <v>9/4/2021</v>
                </pt>
                <pt idx="136">
                  <v>12/4/2021</v>
                </pt>
                <pt idx="137">
                  <v>13/4/2021</v>
                </pt>
                <pt idx="138">
                  <v>14/4/2021</v>
                </pt>
                <pt idx="139">
                  <v>15/4/2021</v>
                </pt>
                <pt idx="140">
                  <v>16/4/2021</v>
                </pt>
                <pt idx="141">
                  <v>19/4/2021</v>
                </pt>
                <pt idx="142">
                  <v>20/4/2021</v>
                </pt>
                <pt idx="143">
                  <v>21/4/2021</v>
                </pt>
                <pt idx="144">
                  <v>22/4/2021</v>
                </pt>
                <pt idx="145">
                  <v>23/4/2021</v>
                </pt>
                <pt idx="146">
                  <v>26/4/2021</v>
                </pt>
                <pt idx="147">
                  <v>27/4/2021</v>
                </pt>
                <pt idx="148">
                  <v>28/4/2021</v>
                </pt>
                <pt idx="149">
                  <v>29/4/2021</v>
                </pt>
                <pt idx="150">
                  <v>30/4/2021</v>
                </pt>
                <pt idx="151">
                  <v>3/5/2021</v>
                </pt>
                <pt idx="152">
                  <v>4/5/2021</v>
                </pt>
                <pt idx="153">
                  <v>5/5/2021</v>
                </pt>
                <pt idx="154">
                  <v>6/5/2021</v>
                </pt>
                <pt idx="155">
                  <v>7/5/2021</v>
                </pt>
                <pt idx="156">
                  <v>10/5/2021</v>
                </pt>
                <pt idx="157">
                  <v>11/5/2021</v>
                </pt>
                <pt idx="158">
                  <v>12/5/2021</v>
                </pt>
                <pt idx="159">
                  <v>13/5/2021</v>
                </pt>
                <pt idx="160">
                  <v>14/5/2021</v>
                </pt>
                <pt idx="161">
                  <v>17/5/2021</v>
                </pt>
                <pt idx="162">
                  <v>18/5/2021</v>
                </pt>
                <pt idx="163">
                  <v>19/5/2021</v>
                </pt>
                <pt idx="164">
                  <v>20/5/2021</v>
                </pt>
                <pt idx="165">
                  <v>21/5/2021</v>
                </pt>
                <pt idx="166">
                  <v>26/5/2021</v>
                </pt>
                <pt idx="167">
                  <v>27/5/2021</v>
                </pt>
                <pt idx="168">
                  <v>28/5/2021</v>
                </pt>
                <pt idx="169">
                  <v>31/5/2021</v>
                </pt>
                <pt idx="170">
                  <v>1/6/2021</v>
                </pt>
                <pt idx="171">
                  <v>2/6/2021</v>
                </pt>
                <pt idx="172">
                  <v>3/6/2021</v>
                </pt>
                <pt idx="173">
                  <v>4/6/2021</v>
                </pt>
                <pt idx="174">
                  <v>7/6/2021</v>
                </pt>
                <pt idx="175">
                  <v>8/6/2021</v>
                </pt>
                <pt idx="176">
                  <v>9/6/2021</v>
                </pt>
                <pt idx="177">
                  <v>10/6/2021</v>
                </pt>
                <pt idx="178">
                  <v>11/6/2021</v>
                </pt>
                <pt idx="179">
                  <v>14/6/2021</v>
                </pt>
                <pt idx="180">
                  <v>15/6/2021</v>
                </pt>
                <pt idx="181">
                  <v>16/6/2021</v>
                </pt>
                <pt idx="182">
                  <v>17/6/2021</v>
                </pt>
                <pt idx="183">
                  <v>18/6/2021</v>
                </pt>
                <pt idx="184">
                  <v>22/6/2021</v>
                </pt>
                <pt idx="185">
                  <v>23/6/2021</v>
                </pt>
                <pt idx="186">
                  <v>24/6/2021</v>
                </pt>
                <pt idx="187">
                  <v>25/6/2021</v>
                </pt>
                <pt idx="188">
                  <v>28/6/2021</v>
                </pt>
                <pt idx="189">
                  <v>29/6/2021</v>
                </pt>
                <pt idx="190">
                  <v>30/6/2021</v>
                </pt>
                <pt idx="191">
                  <v>1/7/2021</v>
                </pt>
                <pt idx="192">
                  <v>2/7/2021</v>
                </pt>
                <pt idx="193">
                  <v>5/7/2021</v>
                </pt>
                <pt idx="194">
                  <v>6/7/2021</v>
                </pt>
                <pt idx="195">
                  <v>7/7/2021</v>
                </pt>
                <pt idx="196">
                  <v>8/7/2021</v>
                </pt>
                <pt idx="197">
                  <v>12/7/2021</v>
                </pt>
                <pt idx="198">
                  <v>13/7/2021</v>
                </pt>
                <pt idx="199">
                  <v>14/7/2021</v>
                </pt>
                <pt idx="200">
                  <v>15/7/2021</v>
                </pt>
                <pt idx="201">
                  <v>16/7/2021</v>
                </pt>
                <pt idx="202">
                  <v>19/7/2021</v>
                </pt>
                <pt idx="203">
                  <v>20/7/2021</v>
                </pt>
                <pt idx="204">
                  <v>21/7/2021</v>
                </pt>
                <pt idx="205">
                  <v>22/7/2021</v>
                </pt>
                <pt idx="206">
                  <v>23/7/2021</v>
                </pt>
                <pt idx="207">
                  <v>26/7/2021</v>
                </pt>
                <pt idx="208">
                  <v>27/7/2021</v>
                </pt>
                <pt idx="209">
                  <v>28/7/2021</v>
                </pt>
                <pt idx="210">
                  <v>29/7/2021</v>
                </pt>
                <pt idx="211">
                  <v>30/7/2021</v>
                </pt>
                <pt idx="212">
                  <v>1/8/2021</v>
                </pt>
                <pt idx="213">
                  <v>2/8/2021</v>
                </pt>
                <pt idx="214">
                  <v>3/8/2021</v>
                </pt>
                <pt idx="215">
                  <v>4/8/2021</v>
                </pt>
                <pt idx="216">
                  <v>5/8/2021</v>
                </pt>
                <pt idx="217">
                  <v>9/8/2021</v>
                </pt>
                <pt idx="218">
                  <v>10/8/2021</v>
                </pt>
                <pt idx="219">
                  <v>11/8/2021</v>
                </pt>
                <pt idx="220">
                  <v>12/8/2021</v>
                </pt>
                <pt idx="221">
                  <v>13/8/2021</v>
                </pt>
                <pt idx="222">
                  <v>17/8/2021</v>
                </pt>
                <pt idx="223">
                  <v>18/8/2021</v>
                </pt>
                <pt idx="224">
                  <v>19/8/2021</v>
                </pt>
                <pt idx="225">
                  <v>20/8/2021</v>
                </pt>
                <pt idx="226">
                  <v>23/8/2021</v>
                </pt>
                <pt idx="227">
                  <v>24/8/2021</v>
                </pt>
                <pt idx="228">
                  <v>25/8/2021</v>
                </pt>
                <pt idx="229">
                  <v>26/8/2021</v>
                </pt>
                <pt idx="230">
                  <v>27/8/2021</v>
                </pt>
                <pt idx="231">
                  <v>30/8/2021</v>
                </pt>
                <pt idx="232">
                  <v>31/8/2021</v>
                </pt>
                <pt idx="233">
                  <v>1/9/2021</v>
                </pt>
                <pt idx="234">
                  <v>2/9/2021</v>
                </pt>
                <pt idx="235">
                  <v>3/9/2021</v>
                </pt>
                <pt idx="236">
                  <v>6/9/2021</v>
                </pt>
                <pt idx="237">
                  <v>7/9/2021</v>
                </pt>
                <pt idx="238">
                  <v>8/9/2021</v>
                </pt>
                <pt idx="239">
                  <v>9/9/2021</v>
                </pt>
                <pt idx="240">
                  <v>10/9/2021</v>
                </pt>
                <pt idx="241">
                  <v>13/9/2021</v>
                </pt>
                <pt idx="242">
                  <v>14/9/2021</v>
                </pt>
                <pt idx="243">
                  <v>15/9/2021</v>
                </pt>
              </strCache>
            </strRef>
          </cat>
          <val>
            <numRef>
              <f>'30-41'!$B$2:$B$246</f>
              <numCache>
                <formatCode>General</formatCode>
                <ptCount val="244"/>
                <pt idx="0">
                  <v>-0.01069747217267153</v>
                </pt>
                <pt idx="1">
                  <v>-0.01049748347998763</v>
                </pt>
                <pt idx="2">
                  <v>-0.006198450387403132</v>
                </pt>
                <pt idx="3">
                  <v>-0.007398125132671851</v>
                </pt>
                <pt idx="4">
                  <v>-0.005098690404861828</v>
                </pt>
                <pt idx="5">
                  <v>-0.002599323463755965</v>
                </pt>
                <pt idx="6">
                  <v>-0.00589844458824218</v>
                </pt>
                <pt idx="7">
                  <v>0.06556466652040366</v>
                </pt>
                <pt idx="8">
                  <v>0.05205115987288877</v>
                </pt>
                <pt idx="9">
                  <v>0.05405257167930455</v>
                </pt>
                <pt idx="10">
                  <v>0.05635461766026667</v>
                </pt>
                <pt idx="11">
                  <v>0.05585394113493169</v>
                </pt>
                <pt idx="12">
                  <v>0.04904719953105563</v>
                </pt>
                <pt idx="13">
                  <v>0.04304127245303713</v>
                </pt>
                <pt idx="14">
                  <v>0.04404177935918663</v>
                </pt>
                <pt idx="15">
                  <v>0.04464219604831965</v>
                </pt>
                <pt idx="16">
                  <v>0.04904619076184763</v>
                </pt>
                <pt idx="17">
                  <v>0.05204884035019164</v>
                </pt>
                <pt idx="18">
                  <v>0.05234894267585788</v>
                </pt>
                <pt idx="19">
                  <v>0.05495062231987685</v>
                </pt>
                <pt idx="20">
                  <v>0.06255741571030943</v>
                </pt>
                <pt idx="21">
                  <v>0.07907230241350821</v>
                </pt>
                <pt idx="22">
                  <v>0.08397649913962718</v>
                </pt>
                <pt idx="23">
                  <v>0.07556806301566144</v>
                </pt>
                <pt idx="24">
                  <v>0.06585909274760238</v>
                </pt>
                <pt idx="25">
                  <v>0.06355680933985508</v>
                </pt>
                <pt idx="26">
                  <v>0.05504901624734354</v>
                </pt>
                <pt idx="27">
                  <v>0.06005326642467118</v>
                </pt>
                <pt idx="28">
                  <v>0.04834238236261929</v>
                </pt>
                <pt idx="29">
                  <v>0.05224562546059058</v>
                </pt>
                <pt idx="30">
                  <v>0.05014361807873974</v>
                </pt>
                <pt idx="31">
                  <v>0.05094413995688046</v>
                </pt>
                <pt idx="32">
                  <v>0.04553930104062409</v>
                </pt>
                <pt idx="33">
                  <v>0.05044301476258867</v>
                </pt>
                <pt idx="34">
                  <v>0.04363706161397352</v>
                </pt>
                <pt idx="35">
                  <v>0.04393716602742731</v>
                </pt>
                <pt idx="36">
                  <v>0.03382849935219401</v>
                </pt>
                <pt idx="37">
                  <v>0.03412863532758648</v>
                </pt>
                <pt idx="38">
                  <v>0.03602986036372613</v>
                </pt>
                <pt idx="39">
                  <v>0.03202643277499578</v>
                </pt>
                <pt idx="40">
                  <v>0.0381313408280779</v>
                </pt>
                <pt idx="41">
                  <v>0.03823129205068532</v>
                </pt>
                <pt idx="42">
                  <v>0.04013271090820597</v>
                </pt>
                <pt idx="43">
                  <v>0.04083286206364711</v>
                </pt>
                <pt idx="44">
                  <v>0.04383512815064128</v>
                </pt>
                <pt idx="45">
                  <v>0.04093266202140755</v>
                </pt>
                <pt idx="46">
                  <v>0.04183323736667488</v>
                </pt>
                <pt idx="47">
                  <v>0.03853048130541625</v>
                </pt>
                <pt idx="48">
                  <v>0.03852995307996288</v>
                </pt>
                <pt idx="49">
                  <v>0.03803793298887131</v>
                </pt>
                <pt idx="50">
                  <v>0.0410316168280353</v>
                </pt>
                <pt idx="51">
                  <v>0.04013078525992542</v>
                </pt>
                <pt idx="52">
                  <v>0.03612734295477055</v>
                </pt>
                <pt idx="53">
                  <v>0.03882925491808892</v>
                </pt>
                <pt idx="54">
                  <v>0.03952964723542651</v>
                </pt>
                <pt idx="55">
                  <v>0.04143093131173275</v>
                </pt>
                <pt idx="56">
                  <v>0.04133071494912322</v>
                </pt>
                <pt idx="57">
                  <v>0.0465337848026649</v>
                </pt>
                <pt idx="58">
                  <v>0.04923557776338383</v>
                </pt>
                <pt idx="59">
                  <v>0.04933548099660712</v>
                </pt>
                <pt idx="60">
                  <v>0.05533923020771575</v>
                </pt>
                <pt idx="61">
                  <v>0.05233692262349471</v>
                </pt>
                <pt idx="62">
                  <v>0.04983498689148208</v>
                </pt>
                <pt idx="63">
                  <v>0.04793348777913342</v>
                </pt>
                <pt idx="64">
                  <v>0.04723283652676347</v>
                </pt>
                <pt idx="65">
                  <v>0.05193557230980128</v>
                </pt>
                <pt idx="66">
                  <v>0.04763246184899977</v>
                </pt>
                <pt idx="67">
                  <v>0.04923338428112206</v>
                </pt>
                <pt idx="68">
                  <v>0.05203439259510562</v>
                </pt>
                <pt idx="69">
                  <v>0.05183408268450485</v>
                </pt>
                <pt idx="70">
                  <v>0.05043298870151369</v>
                </pt>
                <pt idx="71">
                  <v>0.05753665005791364</v>
                </pt>
                <pt idx="72">
                  <v>0.0575364528896733</v>
                </pt>
                <pt idx="73">
                  <v>0.05503467938701095</v>
                </pt>
                <pt idx="74">
                  <v>0.04702947395114054</v>
                </pt>
                <pt idx="75">
                  <v>0.0490305601436512</v>
                </pt>
                <pt idx="76">
                  <v>0.04542784789305776</v>
                </pt>
                <pt idx="77">
                  <v>0.04342647230160845</v>
                </pt>
                <pt idx="78">
                  <v>0.04732868896557157</v>
                </pt>
                <pt idx="79">
                  <v>0.04952985361039536</v>
                </pt>
                <pt idx="80">
                  <v>0.05043022359290672</v>
                </pt>
                <pt idx="81">
                  <v>0.05002946941349012</v>
                </pt>
                <pt idx="82">
                  <v>0.04942894640354456</v>
                </pt>
                <pt idx="83">
                  <v>0.04872836925607377</v>
                </pt>
                <pt idx="84">
                  <v>0.05293063451106972</v>
                </pt>
                <pt idx="85">
                  <v>0.04992872611639565</v>
                </pt>
                <pt idx="86">
                  <v>0.04992821286000654</v>
                </pt>
                <pt idx="87">
                  <v>0.0498279855809427</v>
                </pt>
                <pt idx="88">
                  <v>0.0454253573056192</v>
                </pt>
                <pt idx="89">
                  <v>0.04572536818371836</v>
                </pt>
                <pt idx="90">
                  <v>0.04652565284283455</v>
                </pt>
                <pt idx="91">
                  <v>0.04492430835863243</v>
                </pt>
                <pt idx="92">
                  <v>0.04422377785316084</v>
                </pt>
                <pt idx="93">
                  <v>0.04432367977412593</v>
                </pt>
                <pt idx="94">
                  <v>0.03952097860165504</v>
                </pt>
                <pt idx="95">
                  <v>0.03872042104397522</v>
                </pt>
                <pt idx="96">
                  <v>0.03952043693827967</v>
                </pt>
                <pt idx="97">
                  <v>0.03841973616583866</v>
                </pt>
                <pt idx="98">
                  <v>0.04022052348629956</v>
                </pt>
                <pt idx="99">
                  <v>0.03501774872195496</v>
                </pt>
                <pt idx="100">
                  <v>0.03051536218575795</v>
                </pt>
                <pt idx="101">
                  <v>0.03291600709934284</v>
                </pt>
                <pt idx="102">
                  <v>0.03891879297880141</v>
                </pt>
                <pt idx="103">
                  <v>0.03191530185705471</v>
                </pt>
                <pt idx="104">
                  <v>0.03611694527912068</v>
                </pt>
                <pt idx="105">
                  <v>0.0301140257106049</v>
                </pt>
                <pt idx="106">
                  <v>0.02981378376989358</v>
                </pt>
                <pt idx="107">
                  <v>0.03271501305393565</v>
                </pt>
                <pt idx="108">
                  <v>0.03681676928189898</v>
                </pt>
                <pt idx="109">
                  <v>0.03581594545516842</v>
                </pt>
                <pt idx="110">
                  <v>0.04041785583357027</v>
                </pt>
                <pt idx="111">
                  <v>0.0418183313233198</v>
                </pt>
                <pt idx="112">
                  <v>0.04081775292678674</v>
                </pt>
                <pt idx="113">
                  <v>0.03491506609016221</v>
                </pt>
                <pt idx="114">
                  <v>0.03701559218437905</v>
                </pt>
                <pt idx="115">
                  <v>0.03161320825824487</v>
                </pt>
                <pt idx="116">
                  <v>0.0209086642067432</v>
                </pt>
                <pt idx="117">
                  <v>0.02010826367000135</v>
                </pt>
                <pt idx="118">
                  <v>0.01890770553753068</v>
                </pt>
                <pt idx="119">
                  <v>0.01510600101410148</v>
                </pt>
                <pt idx="120">
                  <v>0.01910752522397519</v>
                </pt>
                <pt idx="121">
                  <v>0.02050800655050256</v>
                </pt>
                <pt idx="122">
                  <v>0.01870723944540181</v>
                </pt>
                <pt idx="123">
                  <v>0.016706407937291</v>
                </pt>
                <pt idx="124">
                  <v>0.01560582546224443</v>
                </pt>
                <pt idx="125">
                  <v>0.007502774998972228</v>
                </pt>
                <pt idx="126">
                  <v>0.007302650962335622</v>
                </pt>
                <pt idx="127">
                  <v>0.009703489268401311</v>
                </pt>
                <pt idx="128">
                  <v>0.008703040103049731</v>
                </pt>
                <pt idx="129">
                  <v>0.003901349439360879</v>
                </pt>
                <pt idx="130">
                  <v>0.005001712915381984</v>
                </pt>
                <pt idx="131">
                  <v>0.01600520717356674</v>
                </pt>
                <pt idx="132">
                  <v>0.01630524895000446</v>
                </pt>
                <pt idx="133">
                  <v>0.01370436474630621</v>
                </pt>
                <pt idx="134">
                  <v>0.01290406566452446</v>
                </pt>
                <pt idx="135">
                  <v>0.01050327328037159</v>
                </pt>
                <pt idx="136">
                  <v>0.01150346679821312</v>
                </pt>
                <pt idx="137">
                  <v>0.01320393404884335</v>
                </pt>
                <pt idx="138">
                  <v>0.01090321121974286</v>
                </pt>
                <pt idx="139">
                  <v>0.01150334857749685</v>
                </pt>
                <pt idx="140">
                  <v>0.01050302141712001</v>
                </pt>
                <pt idx="141">
                  <v>0.01220338518561653</v>
                </pt>
                <pt idx="142">
                  <v>0.01260345300082211</v>
                </pt>
                <pt idx="143">
                  <v>0.01350365338567627</v>
                </pt>
                <pt idx="144">
                  <v>0.009202458190886553</v>
                </pt>
                <pt idx="145">
                  <v>0.01420374550823339</v>
                </pt>
                <pt idx="146">
                  <v>0.02070524722018596</v>
                </pt>
                <pt idx="147">
                  <v>0.02300575143785943</v>
                </pt>
                <pt idx="148">
                  <v>0.02200542599545097</v>
                </pt>
                <pt idx="149">
                  <v>0.02480603160357486</v>
                </pt>
                <pt idx="150">
                  <v>0.02210529921556531</v>
                </pt>
                <pt idx="151">
                  <v>0.02630603597400777</v>
                </pt>
                <pt idx="152">
                  <v>0.02290517719758578</v>
                </pt>
                <pt idx="153">
                  <v>0.02240498741158137</v>
                </pt>
                <pt idx="154">
                  <v>0.02280499835580407</v>
                </pt>
                <pt idx="155">
                  <v>0.02000431599968483</v>
                </pt>
                <pt idx="156">
                  <v>0.02150441871617453</v>
                </pt>
                <pt idx="157">
                  <v>0.01820367814044621</v>
                </pt>
                <pt idx="158">
                  <v>0.01860369525453681</v>
                </pt>
                <pt idx="159">
                  <v>0.02010392439620057</v>
                </pt>
                <pt idx="160">
                  <v>0.02040391307922074</v>
                </pt>
                <pt idx="161">
                  <v>0.01910346741018065</v>
                </pt>
                <pt idx="162">
                  <v>0.02200391850603534</v>
                </pt>
                <pt idx="163">
                  <v>0.014702567914259</v>
                </pt>
                <pt idx="164">
                  <v>0.01780304846720332</v>
                </pt>
                <pt idx="165">
                  <v>0.0104017454983884</v>
                </pt>
                <pt idx="166">
                  <v>0.007501130307306536</v>
                </pt>
                <pt idx="167">
                  <v>0.004100603856047269</v>
                </pt>
                <pt idx="168">
                  <v>0.007501078922310722</v>
                </pt>
                <pt idx="169">
                  <v>0.009001202215364323</v>
                </pt>
                <pt idx="170">
                  <v>0.00700091107746903</v>
                </pt>
                <pt idx="171">
                  <v>0.009401191246836027</v>
                </pt>
                <pt idx="172">
                  <v>0.01550191119453082</v>
                </pt>
                <pt idx="173">
                  <v>0.01240148647954381</v>
                </pt>
                <pt idx="174">
                  <v>0.01150126041209998</v>
                </pt>
                <pt idx="175">
                  <v>0.0112011891673432</v>
                </pt>
                <pt idx="176">
                  <v>0.01250128437853204</v>
                </pt>
                <pt idx="177">
                  <v>0.00970096345184962</v>
                </pt>
                <pt idx="178">
                  <v>0.006000575397640817</v>
                </pt>
                <pt idx="179">
                  <v>0.00300025687130745</v>
                </pt>
                <pt idx="180">
                  <v>-0.002200180836781085</v>
                </pt>
                <pt idx="181">
                  <v>0.007600598677293069</v>
                </pt>
                <pt idx="182">
                  <v>0.005300399345156137</v>
                </pt>
                <pt idx="183">
                  <v>0.00400028769192301</v>
                </pt>
                <pt idx="184">
                  <v>0.004500262001554844</v>
                </pt>
                <pt idx="185">
                  <v>0.005400295906625052</v>
                </pt>
                <pt idx="186">
                  <v>0.002500128431255022</v>
                </pt>
                <pt idx="187">
                  <v>0.002400115074010389</v>
                </pt>
                <pt idx="188">
                  <v>0.003500131854282218</v>
                </pt>
                <pt idx="189">
                  <v>0.0005000171238740969</v>
                </pt>
                <pt idx="190">
                  <v>0.0003000092468603555</v>
                </pt>
                <pt idx="191">
                  <v>-0.005500150689060013</v>
                </pt>
                <pt idx="192">
                  <v>-0.006900165414924275</v>
                </pt>
                <pt idx="193">
                  <v>-0.01100015068699572</v>
                </pt>
                <pt idx="194">
                  <v>-0.008300085274848656</v>
                </pt>
                <pt idx="195">
                  <v>-0.009400064384002649</v>
                </pt>
                <pt idx="196">
                  <v>-0.01190004075356421</v>
                </pt>
                <pt idx="197">
                  <v>-0.009599901370876296</v>
                </pt>
                <pt idx="198">
                  <v>-0.01249982876946887</v>
                </pt>
                <pt idx="199">
                  <v>-0.01189979623636578</v>
                </pt>
                <pt idx="200">
                  <v>-0.01059978219625624</v>
                </pt>
                <pt idx="201">
                  <v>-0.01179971713006878</v>
                </pt>
                <pt idx="202">
                  <v>-0.007599739734940547</v>
                </pt>
                <pt idx="203">
                  <v>-0.01409946885562535</v>
                </pt>
                <pt idx="204">
                  <v>-0.01529937125871539</v>
                </pt>
                <pt idx="205">
                  <v>-0.01909914969539028</v>
                </pt>
                <pt idx="206">
                  <v>-0.022198935667468</v>
                </pt>
                <pt idx="207">
                  <v>-0.02079878911159277</v>
                </pt>
                <pt idx="208">
                  <v>-0.02179865624721766</v>
                </pt>
                <pt idx="209">
                  <v>-0.0198987052212356</v>
                </pt>
                <pt idx="210">
                  <v>-0.02239846585850286</v>
                </pt>
                <pt idx="211">
                  <v>-0.02229839634820791</v>
                </pt>
                <pt idx="212">
                  <v>-0.02269821212712697</v>
                </pt>
                <pt idx="213">
                  <v>-0.02309810152590192</v>
                </pt>
                <pt idx="214">
                  <v>-0.02189812516051709</v>
                </pt>
                <pt idx="215">
                  <v>-0.01959825494990175</v>
                </pt>
                <pt idx="216">
                  <v>-0.02029812311875273</v>
                </pt>
                <pt idx="217">
                  <v>-0.01979789816834515</v>
                </pt>
                <pt idx="218">
                  <v>-0.02149764409379795</v>
                </pt>
                <pt idx="219">
                  <v>-0.02019771738125481</v>
                </pt>
                <pt idx="220">
                  <v>-0.02219741536944325</v>
                </pt>
                <pt idx="221">
                  <v>-0.02279726745081928</v>
                </pt>
                <pt idx="222">
                  <v>-0.01129849095497515</v>
                </pt>
                <pt idx="223">
                  <v>-0.0154978770031502</v>
                </pt>
                <pt idx="224">
                  <v>-0.01439797836605144</v>
                </pt>
                <pt idx="225">
                  <v>-0.01329808726142129</v>
                </pt>
                <pt idx="226">
                  <v>-0.01739731890633295</v>
                </pt>
                <pt idx="227">
                  <v>-0.01759722783397133</v>
                </pt>
                <pt idx="228">
                  <v>-0.01779713539259092</v>
                </pt>
                <pt idx="229">
                  <v>-0.01679723881005862</v>
                </pt>
                <pt idx="230">
                  <v>-0.01749706384887467</v>
                </pt>
                <pt idx="231">
                  <v>-0.02189610069439696</v>
                </pt>
                <pt idx="232">
                  <v>-0.02089620719526936</v>
                </pt>
                <pt idx="233">
                  <v>-0.01719681976620757</v>
                </pt>
                <pt idx="234">
                  <v>-0.01739672321994151</v>
                </pt>
                <pt idx="235">
                  <v>-0.01629687457199991</v>
                </pt>
                <pt idx="236">
                  <v>-0.01589678797777166</v>
                </pt>
                <pt idx="237">
                  <v>-0.01549681572279665</v>
                </pt>
                <pt idx="238">
                  <v>-0.01259736835797998</v>
                </pt>
                <pt idx="239">
                  <v>-0.01059774979285216</v>
                </pt>
                <pt idx="240">
                  <v>-0.01269726052255854</v>
                </pt>
                <pt idx="241">
                  <v>-0.01069758205337146</v>
                </pt>
                <pt idx="242">
                  <v>-0.01129740778656946</v>
                </pt>
                <pt idx="243">
                  <v>-0.01139734582357532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34588672"/>
        <axId val="134676480"/>
      </lineChart>
      <catAx>
        <axId val="134588672"/>
        <scaling>
          <orientation val="minMax"/>
        </scaling>
        <delete val="0"/>
        <axPos val="b"/>
        <numFmt formatCode="General" sourceLinked="0"/>
        <majorTickMark val="out"/>
        <minorTickMark val="none"/>
        <tickLblPos val="nextTo"/>
        <crossAx val="134676480"/>
        <crosses val="autoZero"/>
        <auto val="1"/>
        <lblAlgn val="ctr"/>
        <lblOffset val="100"/>
        <noMultiLvlLbl val="0"/>
      </catAx>
      <valAx>
        <axId val="134676480"/>
        <scaling>
          <orientation val="minMax"/>
        </scaling>
        <delete val="0"/>
        <axPos val="l"/>
        <majorGridlines/>
        <numFmt formatCode="General" sourceLinked="1"/>
        <majorTickMark val="out"/>
        <minorTickMark val="none"/>
        <tickLblPos val="nextTo"/>
        <crossAx val="134588672"/>
        <crosses val="autoZero"/>
        <crossBetween val="between"/>
      </valAx>
    </plotArea>
    <legend>
      <legendPos val="r"/>
      <overlay val="0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/Relationships>
</file>

<file path=xl/drawings/_rels/drawing4.xml.rels><Relationships xmlns="http://schemas.openxmlformats.org/package/2006/relationships"><Relationship Type="http://schemas.openxmlformats.org/officeDocument/2006/relationships/chart" Target="/xl/charts/chart4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6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7.xml.rels><Relationships xmlns="http://schemas.openxmlformats.org/package/2006/relationships"><Relationship Type="http://schemas.openxmlformats.org/officeDocument/2006/relationships/chart" Target="/xl/charts/chart7.xml" Id="rId1"/></Relationships>
</file>

<file path=xl/drawings/_rels/drawing8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_rels/drawing9.xml.rels><Relationships xmlns="http://schemas.openxmlformats.org/package/2006/relationships"><Relationship Type="http://schemas.openxmlformats.org/officeDocument/2006/relationships/chart" Target="/xl/charts/chart9.xml" Id="rId1"/></Relationships>
</file>

<file path=xl/drawings/_rels/drawing10.xml.rels><Relationships xmlns="http://schemas.openxmlformats.org/package/2006/relationships"><Relationship Type="http://schemas.openxmlformats.org/officeDocument/2006/relationships/chart" Target="/xl/charts/chart10.xml" Id="rId1"/></Relationships>
</file>

<file path=xl/drawings/_rels/drawing11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_rels/drawing12.xml.rels><Relationships xmlns="http://schemas.openxmlformats.org/package/2006/relationships"><Relationship Type="http://schemas.openxmlformats.org/officeDocument/2006/relationships/chart" Target="/xl/charts/chart12.xml" Id="rId1"/></Relationships>
</file>

<file path=xl/drawings/_rels/drawing13.xml.rels><Relationships xmlns="http://schemas.openxmlformats.org/package/2006/relationships"><Relationship Type="http://schemas.openxmlformats.org/officeDocument/2006/relationships/chart" Target="/xl/charts/chart13.xml" Id="rId1"/></Relationships>
</file>

<file path=xl/drawings/drawing1.xml><?xml version="1.0" encoding="utf-8"?>
<wsDr xmlns="http://schemas.openxmlformats.org/drawingml/2006/spreadsheetDrawing">
  <twoCellAnchor>
    <from>
      <col>2</col>
      <colOff>0</colOff>
      <row>0</row>
      <rowOff>190499</rowOff>
    </from>
    <to>
      <col>14</col>
      <colOff>742950</colOff>
      <row>28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3</col>
      <colOff>642937</colOff>
      <row>1</row>
      <rowOff>152399</rowOff>
    </from>
    <to>
      <col>14</col>
      <colOff>352425</colOff>
      <row>28</row>
      <rowOff>85724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</col>
      <colOff>419100</colOff>
      <row>3</row>
      <rowOff>123825</rowOff>
    </from>
    <to>
      <col>15</col>
      <colOff>9525</colOff>
      <row>35</row>
      <rowOff>161924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4</col>
      <colOff>352425</colOff>
      <row>1</row>
      <rowOff>104775</rowOff>
    </from>
    <to>
      <col>24</col>
      <colOff>38100</colOff>
      <row>34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1</col>
      <colOff>942973</colOff>
      <row>0</row>
      <rowOff>190498</rowOff>
    </from>
    <to>
      <col>17</col>
      <colOff>0</colOff>
      <row>28</row>
      <rowOff>171450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</col>
      <colOff>209550</colOff>
      <row>6</row>
      <rowOff>85725</rowOff>
    </from>
    <to>
      <col>16</col>
      <colOff>200025</colOff>
      <row>33</row>
      <rowOff>161926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3</col>
      <colOff>761997</colOff>
      <row>0</row>
      <rowOff>190498</rowOff>
    </from>
    <to>
      <col>23</col>
      <colOff>85724</colOff>
      <row>34</row>
      <rowOff>95249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8.xml><?xml version="1.0" encoding="utf-8"?>
<wsDr xmlns="http://schemas.openxmlformats.org/drawingml/2006/spreadsheetDrawing">
  <twoCellAnchor>
    <from>
      <col>2</col>
      <colOff>276225</colOff>
      <row>1</row>
      <rowOff>9523</rowOff>
    </from>
    <to>
      <col>17</col>
      <colOff>104775</colOff>
      <row>24</row>
      <rowOff>104774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9.xml><?xml version="1.0" encoding="utf-8"?>
<wsDr xmlns="http://schemas.openxmlformats.org/drawingml/2006/spreadsheetDrawing">
  <twoCellAnchor>
    <from>
      <col>2</col>
      <colOff>266700</colOff>
      <row>1</row>
      <rowOff>0</rowOff>
    </from>
    <to>
      <col>18</col>
      <colOff>438150</colOff>
      <row>35</row>
      <rowOff>76200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0.xml><?xml version="1.0" encoding="utf-8"?>
<wsDr xmlns="http://schemas.openxmlformats.org/drawingml/2006/spreadsheetDrawing">
  <twoCellAnchor>
    <from>
      <col>1</col>
      <colOff>857248</colOff>
      <row>0</row>
      <rowOff>104775</rowOff>
    </from>
    <to>
      <col>23</col>
      <colOff>142875</colOff>
      <row>30</row>
      <rowOff>104775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1.xml><?xml version="1.0" encoding="utf-8"?>
<wsDr xmlns="http://schemas.openxmlformats.org/drawingml/2006/spreadsheetDrawing">
  <twoCellAnchor>
    <from>
      <col>4</col>
      <colOff>0</colOff>
      <row>0</row>
      <rowOff>190499</rowOff>
    </from>
    <to>
      <col>18</col>
      <colOff>457200</colOff>
      <row>31</row>
      <rowOff>9525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2.xml><?xml version="1.0" encoding="utf-8"?>
<wsDr xmlns="http://schemas.openxmlformats.org/drawingml/2006/spreadsheetDrawing">
  <twoCellAnchor>
    <from>
      <col>3</col>
      <colOff>247650</colOff>
      <row>1</row>
      <rowOff>0</rowOff>
    </from>
    <to>
      <col>14</col>
      <colOff>304800</colOff>
      <row>31</row>
      <rowOff>152400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13.xml><?xml version="1.0" encoding="utf-8"?>
<wsDr xmlns="http://schemas.openxmlformats.org/drawingml/2006/spreadsheetDrawing">
  <twoCellAnchor>
    <from>
      <col>2</col>
      <colOff>276225</colOff>
      <row>0</row>
      <rowOff>114300</rowOff>
    </from>
    <to>
      <col>18</col>
      <colOff>676275</colOff>
      <row>25</row>
      <rowOff>95250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2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3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4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5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6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_rels/pivotCacheDefinition7.xml.rels><Relationships xmlns="http://schemas.openxmlformats.org/package/2006/relationships"><Relationship Type="http://schemas.openxmlformats.org/officeDocument/2006/relationships/pivotCacheRecords" Target="/xl/pivotCache/pivotCacheRecords1.xml" Id="rId1"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Adrian" refreshedDate="44464.80428796296" createdVersion="6" refreshedVersion="6" minRefreshableVersion="3" recordCount="244" r:id="rId1">
  <cacheSource type="worksheet">
    <worksheetSource ref="A1:U236" sheet="Paridad usd"/>
  </cacheSource>
  <cacheFields count="21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7.57"/>
    </cacheField>
    <cacheField name="P29" uniqueList="1" numFmtId="10" sqlType="0" hierarchy="0" level="0" databaseField="1">
      <sharedItems count="0" containsNumber="1" containsSemiMixedTypes="0" containsString="0" minValue="0.3506528312259484" maxValue="0.4794833204462609"/>
    </cacheField>
    <cacheField name="GD29d" uniqueList="1" numFmtId="2" sqlType="0" hierarchy="0" level="0" databaseField="1">
      <sharedItems count="0" containsNumber="1" containsSemiMixedTypes="0" containsString="0" minValue="36.61" maxValue="49"/>
    </cacheField>
    <cacheField name="PG29" uniqueList="1" numFmtId="10" sqlType="0" hierarchy="0" level="0" databaseField="1">
      <sharedItems count="0" containsNumber="1" containsSemiMixedTypes="0" containsString="0" minValue="0.3667631882307735" maxValue="0.4935018349383295"/>
    </cacheField>
    <cacheField name="AL30D" uniqueList="1" numFmtId="2" sqlType="0" hierarchy="0" level="0" databaseField="1">
      <sharedItems count="0" containsNumber="1" containsSemiMixedTypes="0" containsString="0" minValue="33.51" maxValue="46"/>
    </cacheField>
    <cacheField name="P30" uniqueList="1" numFmtId="10" sqlType="0" hierarchy="0" level="0" databaseField="1">
      <sharedItems count="0" containsNumber="1" containsSemiMixedTypes="0" containsString="0" minValue="0.3352377689461422" maxValue="0.4604541465555068"/>
    </cacheField>
    <cacheField name="GD30D" uniqueList="1" numFmtId="2" sqlType="0" hierarchy="0" level="0" databaseField="1">
      <sharedItems count="0" containsNumber="1" containsSemiMixedTypes="0" containsString="0" minValue="34.39" maxValue="45.7"/>
    </cacheField>
    <cacheField name="PG30" uniqueList="1" numFmtId="10" sqlType="0" hierarchy="0" level="0" databaseField="1">
      <sharedItems count="0" containsNumber="1" containsSemiMixedTypes="0" containsString="0" minValue="0.3436775511740688" maxValue="0.4569655710871099"/>
    </cacheField>
    <cacheField name="AL35D" uniqueList="1" numFmtId="2" sqlType="0" hierarchy="0" level="0" databaseField="1">
      <sharedItems count="0" containsNumber="1" containsSemiMixedTypes="0" containsString="0" minValue="29.8" maxValue="41.9"/>
    </cacheField>
    <cacheField name="P35" uniqueList="1" numFmtId="10" sqlType="0" hierarchy="0" level="0" databaseField="1">
      <sharedItems count="0" containsNumber="1" containsSemiMixedTypes="0" containsString="0" minValue="0.2981235374932764" maxValue="0.4194136682755594"/>
    </cacheField>
    <cacheField name="AE38D" uniqueList="1" numFmtId="0" sqlType="0" hierarchy="0" level="0" databaseField="1">
      <sharedItems count="0" containsNumber="1" containsSemiMixedTypes="0" containsString="0" minValue="32.05" maxValue="43.4"/>
    </cacheField>
    <cacheField name="P38" uniqueList="1" numFmtId="10" sqlType="0" hierarchy="0" level="0" databaseField="1">
      <sharedItems count="0" containsNumber="1" containsSemiMixedTypes="0" containsString="0" minValue="0.3206317664793751" maxValue="0.4344284774023695"/>
    </cacheField>
    <cacheField name="AL41D" uniqueList="1" numFmtId="2" sqlType="0" hierarchy="0" level="0" databaseField="1">
      <sharedItems count="0" containsNumber="1" containsSemiMixedTypes="0" containsString="0" minValue="31.42" maxValue="40"/>
    </cacheField>
    <cacheField name="P41" uniqueList="1" numFmtId="10" sqlType="0" hierarchy="0" level="0" databaseField="1">
      <sharedItems count="0" containsNumber="1" containsSemiMixedTypes="0" containsString="0" minValue="0.3143302532898907" maxValue="0.4003935374837597"/>
    </cacheField>
    <cacheField name="29-30" uniqueList="1" numFmtId="10" sqlType="0" hierarchy="0" level="0" databaseField="1">
      <sharedItems count="0" containsNumber="1" containsSemiMixedTypes="0" containsString="0" minValue="0.003949219091999634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</cacheFields>
</pivotCacheDefinition>
</file>

<file path=xl/pivotCache/pivotCacheDefinition2.xml><?xml version="1.0" encoding="utf-8"?>
<pivotCacheDefinition xmlns:r="http://schemas.openxmlformats.org/officeDocument/2006/relationships" xmlns="http://schemas.openxmlformats.org/spreadsheetml/2006/main" refreshedBy="Adrian" refreshedDate="44407.90484652778" createdVersion="6" refreshedVersion="6" minRefreshableVersion="3" recordCount="213" r:id="rId1">
  <cacheSource type="worksheet">
    <worksheetSource ref="A1:Y236" sheet="Paridad usd"/>
  </cacheSource>
  <cacheFields count="25">
    <cacheField name="Fecha" uniqueList="1" numFmtId="14" sqlType="0" hierarchy="0" level="0" databaseField="1">
      <sharedItems count="213" containsDate="1" containsNonDate="0" containsSemiMixedTypes="0" containsString="0" minDate="2020-09-14T00:00:00" maxDate="2021-07-31T00:00:00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698393229997319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239846585850286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3201254398084219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  <cacheField name="30-38" uniqueList="1" numFmtId="10" sqlType="0" hierarchy="0" level="0" databaseField="1">
      <sharedItems count="0" containsNumber="1" containsSemiMixedTypes="0" containsString="0" minValue="-0.02609812308018944" maxValue="0.04504056736032797"/>
    </cacheField>
  </cacheFields>
</pivotCacheDefinition>
</file>

<file path=xl/pivotCache/pivotCacheDefinition3.xml><?xml version="1.0" encoding="utf-8"?>
<pivotCacheDefinition xmlns:r="http://schemas.openxmlformats.org/officeDocument/2006/relationships" xmlns="http://schemas.openxmlformats.org/spreadsheetml/2006/main" refreshedBy="Adrian" refreshedDate="44487.78100659722" createdVersion="6" refreshedVersion="6" minRefreshableVersion="3" recordCount="272" r:id="rId1">
  <cacheSource type="worksheet">
    <worksheetSource ref="A1:Y1048576" sheet="Paridad usd"/>
  </cacheSource>
  <cacheFields count="25">
    <cacheField name="Fecha" uniqueList="1" numFmtId="0" sqlType="0" hierarchy="0" level="0" databaseField="1">
      <sharedItems count="268" containsBlank="1" containsDate="1" containsNonDate="0" containsString="0" minDate="2020-09-14T00:00:00" maxDate="2021-10-19T00:00:00"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m/>
        <d v="2021-10-15T17:00:12" u="1"/>
      </sharedItems>
    </cacheField>
    <cacheField name="AL29D" uniqueList="1" numFmtId="0" sqlType="0" hierarchy="0" level="0" databaseField="1">
      <sharedItems count="0" containsBlank="1" containsNumber="1" containsString="0" minValue="34.95" maxValue="51.8"/>
    </cacheField>
    <cacheField name="P29" uniqueList="1" numFmtId="0" sqlType="0" hierarchy="0" level="0" databaseField="1">
      <sharedItems count="0" containsBlank="1" containsNumber="1" containsString="0" minValue="0.3506528312259484" maxValue="0.5222639633169438"/>
    </cacheField>
    <cacheField name="GD29d" uniqueList="1" numFmtId="0" sqlType="0" hierarchy="0" level="0" databaseField="1">
      <sharedItems count="0" containsBlank="1" containsNumber="1" containsString="0" minValue="36.61" maxValue="53.75"/>
    </cacheField>
    <cacheField name="PG29" uniqueList="1" numFmtId="0" sqlType="0" hierarchy="0" level="0" databaseField="1">
      <sharedItems count="0" containsBlank="1" containsNumber="1" containsString="0" minValue="0.3667631882307735" maxValue="0.5419244793105353"/>
    </cacheField>
    <cacheField name="AL30D" uniqueList="1" numFmtId="0" sqlType="0" hierarchy="0" level="0" databaseField="1">
      <sharedItems count="0" containsBlank="1" containsNumber="1" containsString="0" minValue="33.51" maxValue="51.87"/>
    </cacheField>
    <cacheField name="P30" uniqueList="1" numFmtId="0" sqlType="0" hierarchy="0" level="0" databaseField="1">
      <sharedItems count="0" containsBlank="1" containsNumber="1" containsString="0" minValue="0.3352377689461422" maxValue="0.5192298990065203"/>
    </cacheField>
    <cacheField name="GD30D" uniqueList="1" numFmtId="0" sqlType="0" hierarchy="0" level="0" databaseField="1">
      <sharedItems count="0" containsBlank="1" containsNumber="1" containsString="0" minValue="34.39" maxValue="50"/>
    </cacheField>
    <cacheField name="PG30" uniqueList="1" numFmtId="0" sqlType="0" hierarchy="0" level="0" databaseField="1">
      <sharedItems count="0" containsBlank="1" containsNumber="1" containsString="0" minValue="0.3436775511740688" maxValue="0.4999794528991959"/>
    </cacheField>
    <cacheField name="AL35D" uniqueList="1" numFmtId="0" sqlType="0" hierarchy="0" level="0" databaseField="1">
      <sharedItems count="0" containsBlank="1" containsNumber="1" containsString="0" minValue="29.8" maxValue="44.55"/>
    </cacheField>
    <cacheField name="P35" uniqueList="1" numFmtId="0" sqlType="0" hierarchy="0" level="0" databaseField="1">
      <sharedItems count="0" containsBlank="1" containsNumber="1" containsString="0" minValue="0.2981235374932764" maxValue="0.4459535897813872"/>
    </cacheField>
    <cacheField name="AE38D" uniqueList="1" numFmtId="0" sqlType="0" hierarchy="0" level="0" databaseField="1">
      <sharedItems count="0" containsBlank="1" containsNumber="1" containsString="0" minValue="32.05" maxValue="49.2"/>
    </cacheField>
    <cacheField name="P38" uniqueList="1" numFmtId="0" sqlType="0" hierarchy="0" level="0" databaseField="1">
      <sharedItems count="0" containsBlank="1" containsNumber="1" containsString="0" minValue="0.3206317664793751" maxValue="0.4925026225394409"/>
    </cacheField>
    <cacheField name="AL41D" uniqueList="1" numFmtId="0" sqlType="0" hierarchy="0" level="0" databaseField="1">
      <sharedItems count="0" containsBlank="1" containsNumber="1" containsString="0" minValue="31.42" maxValue="43.99"/>
    </cacheField>
    <cacheField name="P41" uniqueList="1" numFmtId="0" sqlType="0" hierarchy="0" level="0" databaseField="1">
      <sharedItems count="0" containsBlank="1" containsNumber="1" containsString="0" minValue="0.3143302532898907" maxValue="0.4403493976729677"/>
    </cacheField>
    <cacheField name="29-30" uniqueList="1" numFmtId="0" sqlType="0" hierarchy="0" level="0" databaseField="1">
      <sharedItems count="0" containsBlank="1" containsNumber="1" containsString="0" minValue="0.003034064310423523" maxValue="0.07786706086058826"/>
    </cacheField>
    <cacheField name="g29-29" uniqueList="1" numFmtId="0" sqlType="0" hierarchy="0" level="0" databaseField="1">
      <sharedItems count="0" containsBlank="1" containsNumber="1" containsString="0" minValue="-0.005040740229250107" maxValue="0.06485487253062572"/>
    </cacheField>
    <cacheField name="29-38" uniqueList="1" numFmtId="0" sqlType="0" hierarchy="0" level="0" databaseField="1">
      <sharedItems count="0" containsBlank="1" containsNumber="1" containsString="0" minValue="-0.01741668988542733" maxValue="0.09645939032089978"/>
    </cacheField>
    <cacheField name="29-41" uniqueList="1" numFmtId="0" sqlType="0" hierarchy="0" level="0" databaseField="1">
      <sharedItems count="0" containsBlank="1" containsNumber="1" containsString="0" minValue="-0.01512340537572615" maxValue="0.1208805497501313"/>
    </cacheField>
    <cacheField name="g29-41" uniqueList="1" numFmtId="0" sqlType="0" hierarchy="0" level="0" databaseField="1">
      <sharedItems count="0" containsBlank="1" containsNumber="1" containsString="0" minValue="0.0198249663680406" maxValue="0.151698660204576"/>
    </cacheField>
    <cacheField name="30-41" uniqueList="1" numFmtId="0" sqlType="0" hierarchy="0" level="0" databaseField="1">
      <sharedItems count="0" containsBlank="1" containsNumber="1" containsString="0" minValue="-0.02309810152590192" maxValue="0.08397649913962718"/>
    </cacheField>
    <cacheField name="30-35" uniqueList="1" numFmtId="0" sqlType="0" hierarchy="0" level="0" databaseField="1">
      <sharedItems count="0" containsBlank="1" containsNumber="1" containsString="0" minValue="0.01009820169010994" maxValue="0.07406671077031712"/>
    </cacheField>
    <cacheField name="29-35" uniqueList="1" numFmtId="0" sqlType="0" hierarchy="0" level="0" databaseField="1">
      <sharedItems count="0" containsBlank="1" containsNumber="1" containsString="0" minValue="0.02213224544358611" maxValue="0.107268755969904"/>
    </cacheField>
    <cacheField name="g30-30" uniqueList="1" numFmtId="0" sqlType="0" hierarchy="0" level="0" databaseField="1">
      <sharedItems count="0" containsBlank="1" containsNumber="1" containsString="0" minValue="-0.01925044610732435" maxValue="0.04157365773304617"/>
    </cacheField>
    <cacheField name="30-38" uniqueList="1" numFmtId="0" sqlType="0" hierarchy="0" level="0" databaseField="1">
      <sharedItems count="0" containsBlank="1" containsNumber="1" containsString="0" minValue="-0.02739765431041863" maxValue="0.04504056736032797"/>
    </cacheField>
  </cacheFields>
</pivotCacheDefinition>
</file>

<file path=xl/pivotCache/pivotCacheDefinition4.xml><?xml version="1.0" encoding="utf-8"?>
<pivotCacheDefinition xmlns:r="http://schemas.openxmlformats.org/officeDocument/2006/relationships" xmlns="http://schemas.openxmlformats.org/spreadsheetml/2006/main" refreshedBy="Adrian" refreshedDate="44487.78175381944" createdVersion="4" refreshedVersion="6" minRefreshableVersion="3" recordCount="235" r:id="rId1">
  <cacheSource type="worksheet">
    <worksheetSource ref="A1:T236" sheet="Paridad usd"/>
  </cacheSource>
  <cacheFields count="20">
    <cacheField name="Fecha" uniqueList="1" numFmtId="14" sqlType="0" hierarchy="0" level="0" databaseField="1">
      <sharedItems count="268" containsDate="1" containsNonDate="0" containsSemiMixedTypes="0" containsString="0" minDate="2020-09-14T00:00:00" maxDate="2021-10-19T00:00:00">
        <d v="2021-10-18T00:00:00"/>
        <d v="2021-10-15T00:00:00"/>
        <d v="2021-10-14T00:00:00"/>
        <d v="2021-10-13T00:00:00"/>
        <d v="2021-10-12T00:00:00"/>
        <d v="2021-10-07T00:00:00"/>
        <d v="2021-10-06T00:00:00"/>
        <d v="2021-10-05T00:00:00"/>
        <d v="2021-10-04T00:00:00"/>
        <d v="2021-10-01T00:00:00"/>
        <d v="2021-09-30T00:00:00"/>
        <d v="2021-09-29T00:00:00"/>
        <d v="2021-09-28T00:00:00"/>
        <d v="2021-09-27T00:00:00"/>
        <d v="2021-09-24T00:00:00"/>
        <d v="2021-09-23T00:00:00"/>
        <d v="2021-09-22T00:00:00"/>
        <d v="2021-09-21T00:00:00"/>
        <d v="2021-09-20T00:00:00"/>
        <d v="2021-09-17T00:00:00"/>
        <d v="2021-09-16T00:00:00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0T00:00:00" u="1"/>
        <d v="2020-10-16T00:00:00" u="1"/>
        <d v="2020-10-08T00:00:00" u="1"/>
        <d v="2020-09-23T00:00:00" u="1"/>
        <d v="2020-09-15T00:00:00" u="1"/>
        <d v="2020-12-05T00:00:00" u="1"/>
        <d v="2020-10-27T00:00:00" u="1"/>
        <d v="2020-10-23T00:00:00" u="1"/>
        <d v="2020-10-19T00:00:00" u="1"/>
        <d v="2020-10-15T00:00:00" u="1"/>
        <d v="2020-09-30T00:00:00" u="1"/>
        <d v="2020-10-07T00:00:00" u="1"/>
        <d v="2020-09-22T00:00:00" u="1"/>
        <d v="2020-09-18T00:00:00" u="1"/>
        <d v="2020-09-14T00:00:00" u="1"/>
        <d v="2020-10-26T00:00:00" u="1"/>
        <d v="2020-10-22T00:00:00" u="1"/>
        <d v="2020-10-14T00:00:00" u="1"/>
        <d v="2020-09-29T00:00:00" u="1"/>
        <d v="2020-09-25T00:00:00" u="1"/>
        <d v="2020-10-06T00:00:00" u="1"/>
        <d v="2020-09-21T00:00:00" u="1"/>
        <d v="2020-10-02T00:00:00" u="1"/>
        <d v="2020-09-17T00:00:00" u="1"/>
        <d v="2021-10-15T17:00:12" u="1"/>
        <d v="2020-10-21T00:00:00" u="1"/>
        <d v="2020-10-13T00:00:00" u="1"/>
        <d v="2020-09-28T00:00:00" u="1"/>
        <d v="2020-10-09T00:00:00" u="1"/>
        <d v="2020-09-24T00:00:00" u="1"/>
        <d v="2020-10-05T00:00:00" u="1"/>
        <d v="2020-10-01T00:00:00" u="1"/>
        <d v="2020-09-1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45.7"/>
    </cacheField>
    <cacheField name="P29" uniqueList="1" numFmtId="10" sqlType="0" hierarchy="0" level="0" databaseField="1">
      <sharedItems count="0" containsNumber="1" containsSemiMixedTypes="0" containsString="0" minValue="0.3506528312259484" maxValue="0.4600501958188538"/>
    </cacheField>
    <cacheField name="GD29d" uniqueList="1" numFmtId="2" sqlType="0" hierarchy="0" level="0" databaseField="1">
      <sharedItems count="0" containsNumber="1" containsSemiMixedTypes="0" containsString="0" minValue="36.61" maxValue="48"/>
    </cacheField>
    <cacheField name="PG29" uniqueList="1" numFmtId="10" sqlType="0" hierarchy="0" level="0" databaseField="1">
      <sharedItems count="0" containsNumber="1" containsSemiMixedTypes="0" containsString="0" minValue="0.3667631882307735" maxValue="0.4833636815096838"/>
    </cacheField>
    <cacheField name="AL30D" uniqueList="1" numFmtId="2" sqlType="0" hierarchy="0" level="0" databaseField="1">
      <sharedItems count="0" containsNumber="1" containsSemiMixedTypes="0" containsString="0" minValue="33.51" maxValue="40.94"/>
    </cacheField>
    <cacheField name="P30" uniqueList="1" numFmtId="10" sqlType="0" hierarchy="0" level="0" databaseField="1">
      <sharedItems count="0" containsNumber="1" containsSemiMixedTypes="0" containsString="0" minValue="0.3352377689461422" maxValue="0.4096679677460257"/>
    </cacheField>
    <cacheField name="GD30D" uniqueList="1" numFmtId="2" sqlType="0" hierarchy="0" level="0" databaseField="1">
      <sharedItems count="0" containsNumber="1" containsSemiMixedTypes="0" containsString="0" minValue="34.39" maxValue="42.84"/>
    </cacheField>
    <cacheField name="PG30" uniqueList="1" numFmtId="10" sqlType="0" hierarchy="0" level="0" databaseField="1">
      <sharedItems count="0" containsNumber="1" containsSemiMixedTypes="0" containsString="0" minValue="0.3436775511740688" maxValue="0.4282899940083883"/>
    </cacheField>
    <cacheField name="AL35D" uniqueList="1" numFmtId="2" sqlType="0" hierarchy="0" level="0" databaseField="1">
      <sharedItems count="0" containsNumber="1" containsSemiMixedTypes="0" containsString="0" minValue="29.8" maxValue="37.5"/>
    </cacheField>
    <cacheField name="P35" uniqueList="1" numFmtId="10" sqlType="0" hierarchy="0" level="0" databaseField="1">
      <sharedItems count="0" containsNumber="1" containsSemiMixedTypes="0" containsString="0" minValue="0.2981235374932764" maxValue="0.3752994684114379"/>
    </cacheField>
    <cacheField name="AE38D" uniqueList="1" numFmtId="0" sqlType="0" hierarchy="0" level="0" databaseField="1">
      <sharedItems count="0" containsNumber="1" containsSemiMixedTypes="0" containsString="0" minValue="32.05" maxValue="39.8"/>
    </cacheField>
    <cacheField name="P38" uniqueList="1" numFmtId="10" sqlType="0" hierarchy="0" level="0" databaseField="1">
      <sharedItems count="0" containsNumber="1" containsSemiMixedTypes="0" containsString="0" minValue="0.3206317664793751" maxValue="0.3983205662091066"/>
    </cacheField>
    <cacheField name="AL41D" uniqueList="1" numFmtId="2" sqlType="0" hierarchy="0" level="0" databaseField="1">
      <sharedItems count="0" containsNumber="1" containsSemiMixedTypes="0" containsString="0" minValue="31.42" maxValue="39.5"/>
    </cacheField>
    <cacheField name="P41" uniqueList="1" numFmtId="10" sqlType="0" hierarchy="0" level="0" databaseField="1">
      <sharedItems count="0" containsNumber="1" containsSemiMixedTypes="0" containsString="0" minValue="0.3143302532898907" maxValue="0.3949107393534338"/>
    </cacheField>
    <cacheField name="29-30" uniqueList="1" numFmtId="10" sqlType="0" hierarchy="0" level="0" databaseField="1">
      <sharedItems count="0" containsNumber="1" containsSemiMixedTypes="0" containsString="0" minValue="0.007075530291741849" maxValue="0.07786706086058826"/>
    </cacheField>
    <cacheField name="g29-29" uniqueList="1" numFmtId="10" sqlType="0" hierarchy="0" level="0" databaseField="1">
      <sharedItems count="0" containsNumber="1" containsSemiMixedTypes="0" containsString="0" minValue="-0.001402536092660667" maxValue="0.05403701165181629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451694988987826"/>
    </cacheField>
  </cacheFields>
</pivotCacheDefinition>
</file>

<file path=xl/pivotCache/pivotCacheDefinition5.xml><?xml version="1.0" encoding="utf-8"?>
<pivotCacheDefinition xmlns:r="http://schemas.openxmlformats.org/officeDocument/2006/relationships" xmlns="http://schemas.openxmlformats.org/spreadsheetml/2006/main" refreshedBy="Adrian" refreshedDate="44393.8120550926" createdVersion="4" refreshedVersion="6" minRefreshableVersion="3" recordCount="203" r:id="rId1">
  <cacheSource type="worksheet">
    <worksheetSource ref="A1:S236" sheet="Paridad usd"/>
  </cacheSource>
  <cacheFields count="19">
    <cacheField name="Fecha" uniqueList="1" numFmtId="14" sqlType="0" hierarchy="0" level="0" databaseField="1">
      <sharedItems count="204" containsDate="1" containsNonDate="0" containsSemiMixedTypes="0" containsString="0" minDate="2020-09-14T00:00:00" maxDate="2021-07-17T00:00:00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08060877239426278" maxValue="0.09645939032089978"/>
    </cacheField>
    <cacheField name="29-41" uniqueList="1" numFmtId="10" sqlType="0" hierarchy="0" level="0" databaseField="1">
      <sharedItems count="0" containsNumber="1" containsSemiMixedTypes="0" containsString="0" minValue="-0.003560985113552573" maxValue="0.1208805497501313"/>
    </cacheField>
  </cacheFields>
</pivotCacheDefinition>
</file>

<file path=xl/pivotCache/pivotCacheDefinition6.xml><?xml version="1.0" encoding="utf-8"?>
<pivotCacheDefinition xmlns:r="http://schemas.openxmlformats.org/officeDocument/2006/relationships" xmlns="http://schemas.openxmlformats.org/spreadsheetml/2006/main" refreshedBy="Adrian" refreshedDate="44421.71672789352" createdVersion="6" refreshedVersion="6" minRefreshableVersion="3" recordCount="223" r:id="rId1">
  <cacheSource type="worksheet">
    <worksheetSource ref="A1:X236" sheet="Paridad usd"/>
  </cacheSource>
  <cacheFields count="24">
    <cacheField name="Fecha" uniqueList="1" numFmtId="14" sqlType="0" hierarchy="0" level="0" databaseField="1">
      <sharedItems count="224" containsDate="1" containsNonDate="0" containsSemiMixedTypes="0" containsString="0" minDate="2020-09-14T00:00:00" maxDate="2021-08-14T00:00:00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Blank="1" containsNumber="1" containsString="0" minValue="34.39" maxValue="40.62"/>
    </cacheField>
    <cacheField name="PG30" uniqueList="1" numFmtId="10" sqlType="0" hierarchy="0" level="0" databaseField="1">
      <sharedItems count="0" containsNumber="1" containsSemiMixedTypes="0" containsString="0" minValue="0" maxValue="0.4058039242520143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10091240000274" maxValue="0.07406671077031712"/>
    </cacheField>
    <cacheField name="29-35" uniqueList="1" numFmtId="10" sqlType="0" hierarchy="0" level="0" databaseField="1">
      <sharedItems count="0" containsNumber="1" containsSemiMixedTypes="0" containsString="0" minValue="0.02869353791970203" maxValue="0.107268755969904"/>
    </cacheField>
    <cacheField name="g30-30" uniqueList="1" numFmtId="10" sqlType="0" hierarchy="0" level="0" databaseField="1">
      <sharedItems count="0" containsNumber="1" containsSemiMixedTypes="0" containsString="0" minValue="-0.5192298990065203" maxValue="0.0370028844456638"/>
    </cacheField>
  </cacheFields>
</pivotCacheDefinition>
</file>

<file path=xl/pivotCache/pivotCacheDefinition7.xml><?xml version="1.0" encoding="utf-8"?>
<pivotCacheDefinition xmlns:r="http://schemas.openxmlformats.org/officeDocument/2006/relationships" xmlns="http://schemas.openxmlformats.org/spreadsheetml/2006/main" refreshedBy="Adrian" refreshedDate="44464.80501898148" createdVersion="6" refreshedVersion="6" minRefreshableVersion="3" recordCount="252" r:id="rId1">
  <cacheSource type="worksheet">
    <worksheetSource ref="A1:Y244" sheet="Paridad usd"/>
  </cacheSource>
  <cacheFields count="25">
    <cacheField name="Fecha" uniqueList="1" numFmtId="14" sqlType="0" hierarchy="0" level="0" databaseField="1">
      <sharedItems count="252" containsDate="1" containsMixedTypes="1" minDate="2020-09-14T00:00:00" maxDate="2021-09-16T00:00:00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uniqueList="1" numFmtId="2" sqlType="0" hierarchy="0" level="0" databaseField="1">
      <sharedItems count="0" containsNumber="1" containsSemiMixedTypes="0" containsString="0" minValue="34.95" maxValue="51.8"/>
    </cacheField>
    <cacheField name="P29" uniqueList="1" numFmtId="10" sqlType="0" hierarchy="0" level="0" databaseField="1">
      <sharedItems count="0" containsNumber="1" containsSemiMixedTypes="0" containsString="0" minValue="0.3506528312259484" maxValue="0.5222639633169438"/>
    </cacheField>
    <cacheField name="GD29d" uniqueList="1" numFmtId="2" sqlType="0" hierarchy="0" level="0" databaseField="1">
      <sharedItems count="0" containsNumber="1" containsSemiMixedTypes="0" containsString="0" minValue="36.61" maxValue="53.75"/>
    </cacheField>
    <cacheField name="PG29" uniqueList="1" numFmtId="10" sqlType="0" hierarchy="0" level="0" databaseField="1">
      <sharedItems count="0" containsNumber="1" containsSemiMixedTypes="0" containsString="0" minValue="0.3667631882307735" maxValue="0.5419244793105353"/>
    </cacheField>
    <cacheField name="AL30D" uniqueList="1" numFmtId="2" sqlType="0" hierarchy="0" level="0" databaseField="1">
      <sharedItems count="0" containsNumber="1" containsSemiMixedTypes="0" containsString="0" minValue="33.51" maxValue="51.87"/>
    </cacheField>
    <cacheField name="P30" uniqueList="1" numFmtId="10" sqlType="0" hierarchy="0" level="0" databaseField="1">
      <sharedItems count="0" containsNumber="1" containsSemiMixedTypes="0" containsString="0" minValue="0.3352377689461422" maxValue="0.5192298990065203"/>
    </cacheField>
    <cacheField name="GD30D" uniqueList="1" numFmtId="2" sqlType="0" hierarchy="0" level="0" databaseField="1">
      <sharedItems count="0" containsNumber="1" containsSemiMixedTypes="0" containsString="0" minValue="34.39" maxValue="50"/>
    </cacheField>
    <cacheField name="PG30" uniqueList="1" numFmtId="10" sqlType="0" hierarchy="0" level="0" databaseField="1">
      <sharedItems count="0" containsNumber="1" containsSemiMixedTypes="0" containsString="0" minValue="0.3436775511740688" maxValue="0.4999794528991959"/>
    </cacheField>
    <cacheField name="AL35D" uniqueList="1" numFmtId="2" sqlType="0" hierarchy="0" level="0" databaseField="1">
      <sharedItems count="0" containsNumber="1" containsSemiMixedTypes="0" containsString="0" minValue="29.8" maxValue="44.55"/>
    </cacheField>
    <cacheField name="P35" uniqueList="1" numFmtId="10" sqlType="0" hierarchy="0" level="0" databaseField="1">
      <sharedItems count="0" containsNumber="1" containsSemiMixedTypes="0" containsString="0" minValue="0.2981235374932764" maxValue="0.4459535897813872"/>
    </cacheField>
    <cacheField name="AE38D" uniqueList="1" numFmtId="0" sqlType="0" hierarchy="0" level="0" databaseField="1">
      <sharedItems count="0" containsNumber="1" containsSemiMixedTypes="0" containsString="0" minValue="32.05" maxValue="49.2"/>
    </cacheField>
    <cacheField name="P38" uniqueList="1" numFmtId="10" sqlType="0" hierarchy="0" level="0" databaseField="1">
      <sharedItems count="0" containsNumber="1" containsSemiMixedTypes="0" containsString="0" minValue="0.3206317664793751" maxValue="0.4925026225394409"/>
    </cacheField>
    <cacheField name="AL41D" uniqueList="1" numFmtId="2" sqlType="0" hierarchy="0" level="0" databaseField="1">
      <sharedItems count="0" containsNumber="1" containsSemiMixedTypes="0" containsString="0" minValue="31.42" maxValue="43.99"/>
    </cacheField>
    <cacheField name="P41" uniqueList="1" numFmtId="10" sqlType="0" hierarchy="0" level="0" databaseField="1">
      <sharedItems count="0" containsNumber="1" containsSemiMixedTypes="0" containsString="0" minValue="0.3143302532898907" maxValue="0.4403493976729677"/>
    </cacheField>
    <cacheField name="29-30" uniqueList="1" numFmtId="10" sqlType="0" hierarchy="0" level="0" databaseField="1">
      <sharedItems count="0" containsNumber="1" containsSemiMixedTypes="0" containsString="0" minValue="0.003034064310423523" maxValue="0.07786706086058826"/>
    </cacheField>
    <cacheField name="g29-29" uniqueList="1" numFmtId="10" sqlType="0" hierarchy="0" level="0" databaseField="1">
      <sharedItems count="0" containsNumber="1" containsSemiMixedTypes="0" containsString="0" minValue="-0.005040740229250107" maxValue="0.06485487253062572"/>
    </cacheField>
    <cacheField name="29-38" uniqueList="1" numFmtId="10" sqlType="0" hierarchy="0" level="0" databaseField="1">
      <sharedItems count="0" containsNumber="1" containsSemiMixedTypes="0" containsString="0" minValue="-0.01741668988542733" maxValue="0.09645939032089978"/>
    </cacheField>
    <cacheField name="29-41" uniqueList="1" numFmtId="10" sqlType="0" hierarchy="0" level="0" databaseField="1">
      <sharedItems count="0" containsNumber="1" containsSemiMixedTypes="0" containsString="0" minValue="-0.01512340537572615" maxValue="0.1208805497501313"/>
    </cacheField>
    <cacheField name="g29-41" uniqueList="1" numFmtId="10" sqlType="0" hierarchy="0" level="0" databaseField="1">
      <sharedItems count="0" containsNumber="1" containsSemiMixedTypes="0" containsString="0" minValue="0.0198249663680406" maxValue="0.151698660204576"/>
    </cacheField>
    <cacheField name="30-41" uniqueList="1" numFmtId="10" sqlType="0" hierarchy="0" level="0" databaseField="1">
      <sharedItems count="0" containsNumber="1" containsSemiMixedTypes="0" containsString="0" minValue="-0.02309810152590192" maxValue="0.08397649913962718"/>
    </cacheField>
    <cacheField name="30-35" uniqueList="1" numFmtId="10" sqlType="0" hierarchy="0" level="0" databaseField="1">
      <sharedItems count="0" containsNumber="1" containsSemiMixedTypes="0" containsString="0" minValue="0.01009820169010994" maxValue="0.07406671077031712"/>
    </cacheField>
    <cacheField name="29-35" uniqueList="1" numFmtId="10" sqlType="0" hierarchy="0" level="0" databaseField="1">
      <sharedItems count="0" containsNumber="1" containsSemiMixedTypes="0" containsString="0" minValue="0.02213224544358611" maxValue="0.107268755969904"/>
    </cacheField>
    <cacheField name="g30-30" uniqueList="1" numFmtId="10" sqlType="0" hierarchy="0" level="0" databaseField="1">
      <sharedItems count="0" containsNumber="1" containsSemiMixedTypes="0" containsString="0" minValue="-0.01925044610732435" maxValue="0.04157365773304617"/>
    </cacheField>
    <cacheField name="30-38" uniqueList="1" numFmtId="10" sqlType="0" hierarchy="0" level="0" databaseField="1">
      <sharedItems count="0" containsNumber="1" containsSemiMixedTypes="0" containsString="0" minValue="-0.02739765431041863" maxValue="0.04504056736032797"/>
    </cacheField>
  </cacheFields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7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2.xml" Id="rId1"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3.xml" Id="rId1"/></Relationships>
</file>

<file path=xl/pivotTables/_rels/pivotTable4.xml.rels><Relationships xmlns="http://schemas.openxmlformats.org/package/2006/relationships"><Relationship Type="http://schemas.openxmlformats.org/officeDocument/2006/relationships/pivotCacheDefinition" Target="/xl/pivotCache/pivotCacheDefinition4.xml" Id="rId1"/></Relationships>
</file>

<file path=xl/pivotTables/_rels/pivotTable5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6.xml.rels><Relationships xmlns="http://schemas.openxmlformats.org/package/2006/relationships"><Relationship Type="http://schemas.openxmlformats.org/officeDocument/2006/relationships/pivotCacheDefinition" Target="/xl/pivotCache/pivotCacheDefinition5.xml" Id="rId1"/></Relationships>
</file>

<file path=xl/pivotTables/_rels/pivotTable7.xml.rels><Relationships xmlns="http://schemas.openxmlformats.org/package/2006/relationships"><Relationship Type="http://schemas.openxmlformats.org/officeDocument/2006/relationships/pivotCacheDefinition" Target="/xl/pivotCache/pivotCacheDefinition6.xml" Id="rId1"/></Relationships>
</file>

<file path=xl/pivotTables/_rels/pivotTable8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9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0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1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_rels/pivotTable12.xml.rels><Relationships xmlns="http://schemas.openxmlformats.org/package/2006/relationships"><Relationship Type="http://schemas.openxmlformats.org/officeDocument/2006/relationships/pivotCacheDefinition" Target="/xl/pivotCache/pivotCacheDefinition7.xml" Id="rId1"/></Relationships>
</file>

<file path=xl/pivotTables/_rels/pivotTable13.xml.rels><Relationships xmlns="http://schemas.openxmlformats.org/package/2006/relationships"><Relationship Type="http://schemas.openxmlformats.org/officeDocument/2006/relationships/pivotCacheDefinition" Target="/xl/pivotCache/pivotCacheDefinition1.xml" Id="rId1"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laDinámica6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A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manual" defaultSubtotal="0">
      <items count="252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laDinámica2" cacheId="1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3:B217" firstHeaderRow="1" firstDataRow="1" firstDataCol="1"/>
  <pivotFields count="25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14"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1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grand" r="0" i="0">
      <x v="0"/>
    </i>
  </rowItems>
  <colItems count="1">
    <i t="data" r="0" i="0"/>
  </colItems>
  <dataFields count="1">
    <dataField name="Suma de 30-38" fld="24" subtotal="sum" showDataAs="normal" baseField="0" baseItem="0"/>
  </dataField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laDinámica3" cacheId="2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2" fieldListSortAscending="0" mdxSubqueries="0" applyNumberFormats="0" applyBorderFormats="0" applyFontFormats="0" applyPatternFormats="0" applyAlignmentFormats="0" applyWidthHeightFormats="1" r:id="rId1">
  <location ref="A1:H270" firstHeaderRow="1" firstDataRow="2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0">
      <items count="268">
        <item t="data" sd="1" x="265"/>
        <item t="data" sd="1" x="264"/>
        <item t="data" sd="1" x="263"/>
        <item t="data" sd="1" x="262"/>
        <item t="data" sd="1" x="261"/>
        <item t="data" sd="1" x="260"/>
        <item t="data" sd="1" x="259"/>
        <item t="data" sd="1" x="258"/>
        <item t="data" sd="1" x="257"/>
        <item t="data" sd="1" x="256"/>
        <item t="data" sd="1" x="255"/>
        <item t="data" sd="1" x="254"/>
        <item t="data" sd="1" x="253"/>
        <item t="data" sd="1" x="252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m="1" x="267"/>
        <item t="data" sd="1" x="1"/>
        <item t="data" sd="1" x="0"/>
        <item t="data" sd="1" x="266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68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5"/>
    </i>
    <i t="data" r="0" i="0">
      <x v="266"/>
    </i>
    <i t="data" r="0" i="0">
      <x v="267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G29" fld="4" subtotal="sum" showDataAs="normal" baseField="0" baseItem="0"/>
    <dataField name="Suma de P38" fld="12" subtotal="sum" showDataAs="normal" baseField="0" baseItem="9"/>
    <dataField name="Suma de P30" fld="6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1"/>
  </dataFields>
  <formats count="2">
    <format action="formatting" dxfId="6">
      <pivotArea type="normal" dataOnly="1" outline="1" collapsedLevelsAreSubtotals="1" fieldPosition="0">
        <references count="2">
          <reference field="4294967294" selected="0">
            <x v="0"/>
          </reference>
          <reference field="0">
            <x v="0"/>
          </reference>
        </references>
      </pivotArea>
    </format>
    <format action="formatting" dxfId="5">
      <pivotArea type="normal" dataOnly="1" outline="1" collapsedLevelsAreSubtotals="1" fieldPosition="0">
        <references count="1">
          <reference field="0"/>
        </references>
      </pivotArea>
    </format>
  </formats>
  <chartFormats count="14">
    <chartFormat chart="1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1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1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1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1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1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1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  <chartFormat chart="0" format="7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8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9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10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11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12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13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:r="http://schemas.openxmlformats.org/officeDocument/2006/relationships" xmlns="http://schemas.openxmlformats.org/spreadsheetml/2006/main" name="Tabla dinámica1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H238" firstHeaderRow="1" firstDataRow="2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69">
        <item t="data" sd="1" m="1" x="249"/>
        <item t="data" sd="1" m="1" x="239"/>
        <item t="data" sd="1" m="1" x="267"/>
        <item t="data" sd="1" m="1" x="258"/>
        <item t="data" sd="1" m="1" x="248"/>
        <item t="data" sd="1" m="1" x="256"/>
        <item t="data" sd="1" m="1" x="247"/>
        <item t="data" sd="1" m="1" x="238"/>
        <item t="data" sd="1" m="1" x="264"/>
        <item t="data" sd="1" m="1" x="254"/>
        <item t="data" sd="1" m="1" x="262"/>
        <item t="data" sd="1" m="1" x="253"/>
        <item t="data" sd="1" m="1" x="245"/>
        <item t="data" sd="1" m="1" x="266"/>
        <item t="data" sd="1" m="1" x="257"/>
        <item t="data" sd="1" m="1" x="265"/>
        <item t="data" sd="1" m="1" x="255"/>
        <item t="data" sd="1" m="1" x="246"/>
        <item t="data" sd="1" m="1" x="237"/>
        <item t="data" sd="1" m="1" x="263"/>
        <item t="data" sd="1" m="1" x="261"/>
        <item t="data" sd="1" m="1" x="252"/>
        <item t="data" sd="1" m="1" x="244"/>
        <item t="data" sd="1" m="1" x="236"/>
        <item t="data" sd="1" m="1" x="243"/>
        <item t="data" sd="1" m="1" x="235"/>
        <item t="data" sd="1" m="1" x="260"/>
        <item t="data" sd="1" m="1" x="251"/>
        <item t="data" sd="1" m="1" x="242"/>
        <item t="data" sd="1" m="1" x="250"/>
        <item t="data" sd="1" m="1" x="241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m="1" x="240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m="1" x="259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6"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grand" r="0" i="0">
      <x v="0"/>
    </i>
  </rowItems>
  <colFields count="1">
    <field x="-2"/>
  </colFields>
  <colItems count="7">
    <i t="data" r="0" i="0">
      <x v="0"/>
    </i>
    <i t="data" r="0" i="1">
      <x v="1"/>
    </i>
    <i t="data" r="0" i="2">
      <x v="2"/>
    </i>
    <i t="data" r="0" i="3">
      <x v="3"/>
    </i>
    <i t="data" r="0" i="4">
      <x v="4"/>
    </i>
    <i t="data" r="0" i="5">
      <x v="5"/>
    </i>
    <i t="data" r="0" i="6">
      <x v="6"/>
    </i>
  </colItems>
  <dataFields count="7">
    <dataField name="Suma de P29" fld="2" subtotal="sum" showDataAs="normal" baseField="0" baseItem="0"/>
    <dataField name="Suma de P30" fld="6" subtotal="sum" showDataAs="normal" baseField="0" baseItem="0"/>
    <dataField name="Suma de PG29" fld="4" subtotal="sum" showDataAs="normal" baseField="0" baseItem="0"/>
    <dataField name="Suma de P38" fld="12" subtotal="sum" showDataAs="normal" baseField="0" baseItem="0"/>
    <dataField name="Suma de P41" fld="14" subtotal="sum" showDataAs="normal" baseField="0" baseItem="0"/>
    <dataField name="Suma de PG30" fld="8" subtotal="sum" showDataAs="normal" baseField="0" baseItem="0"/>
    <dataField name="Suma de P35" fld="10" subtotal="sum" showDataAs="normal" baseField="0" baseItem="0"/>
  </dataFields>
  <formats count="2">
    <format action="formatting" dxfId="4">
      <pivotArea type="normal" dataOnly="1" outline="0" collapsedLevelsAreSubtotals="1" fieldPosition="0"/>
    </format>
    <format action="formatting" dxfId="3">
      <pivotArea type="normal" dataOnly="0" labelOnly="1" outline="0" fieldPosition="0">
        <references count="1">
          <reference field="4294967294">
            <x v="4"/>
          </reference>
        </references>
      </pivotArea>
    </format>
  </formats>
  <chartFormats count="7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  <chartFormat chart="0" format="1" series="1">
      <pivotArea type="data" dataOnly="1" outline="0" fieldPosition="0">
        <references count="1">
          <reference field="4294967294" selected="0">
            <x v="1"/>
          </reference>
        </references>
      </pivotArea>
    </chartFormat>
    <chartFormat chart="0" format="2" series="1">
      <pivotArea type="data" dataOnly="1" outline="0" fieldPosition="0">
        <references count="1">
          <reference field="4294967294" selected="0">
            <x v="2"/>
          </reference>
        </references>
      </pivotArea>
    </chartFormat>
    <chartFormat chart="0" format="3" series="1">
      <pivotArea type="data" dataOnly="1" outline="0" fieldPosition="0">
        <references count="1">
          <reference field="4294967294" selected="0">
            <x v="3"/>
          </reference>
        </references>
      </pivotArea>
    </chartFormat>
    <chartFormat chart="0" format="4" series="1">
      <pivotArea type="data" dataOnly="1" outline="0" fieldPosition="0">
        <references count="1">
          <reference field="4294967294" selected="0">
            <x v="4"/>
          </reference>
        </references>
      </pivotArea>
    </chartFormat>
    <chartFormat chart="0" format="5" series="1">
      <pivotArea type="data" dataOnly="1" outline="0" fieldPosition="0">
        <references count="1">
          <reference field="4294967294" selected="0">
            <x v="5"/>
          </reference>
        </references>
      </pivotArea>
    </chartFormat>
    <chartFormat chart="0" format="6" series="1">
      <pivotArea type="data" dataOnly="1" outline="0" fieldPosition="0">
        <references count="1">
          <reference field="4294967294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:r="http://schemas.openxmlformats.org/officeDocument/2006/relationships" xmlns="http://schemas.openxmlformats.org/spreadsheetml/2006/main" name="Tabla dinámica4" cacheId="3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37" firstHeaderRow="1" firstDataRow="1" firstDataCol="1"/>
  <pivotFields count="20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69">
        <item t="data" sd="1" m="1" x="249"/>
        <item t="data" sd="1" m="1" x="239"/>
        <item t="data" sd="1" m="1" x="267"/>
        <item t="data" sd="1" m="1" x="258"/>
        <item t="data" sd="1" m="1" x="248"/>
        <item t="data" sd="1" m="1" x="256"/>
        <item t="data" sd="1" m="1" x="247"/>
        <item t="data" sd="1" m="1" x="238"/>
        <item t="data" sd="1" m="1" x="264"/>
        <item t="data" sd="1" m="1" x="254"/>
        <item t="data" sd="1" m="1" x="262"/>
        <item t="data" sd="1" m="1" x="253"/>
        <item t="data" sd="1" m="1" x="245"/>
        <item t="data" sd="1" m="1" x="266"/>
        <item t="data" sd="1" m="1" x="257"/>
        <item t="data" sd="1" m="1" x="265"/>
        <item t="data" sd="1" m="1" x="255"/>
        <item t="data" sd="1" m="1" x="246"/>
        <item t="data" sd="1" m="1" x="237"/>
        <item t="data" sd="1" m="1" x="263"/>
        <item t="data" sd="1" m="1" x="261"/>
        <item t="data" sd="1" m="1" x="252"/>
        <item t="data" sd="1" m="1" x="244"/>
        <item t="data" sd="1" m="1" x="236"/>
        <item t="data" sd="1" m="1" x="243"/>
        <item t="data" sd="1" m="1" x="235"/>
        <item t="data" sd="1" m="1" x="260"/>
        <item t="data" sd="1" m="1" x="251"/>
        <item t="data" sd="1" m="1" x="242"/>
        <item t="data" sd="1" m="1" x="250"/>
        <item t="data" sd="1" m="1" x="241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m="1" x="240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m="1" x="259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36"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data" r="0" i="0">
      <x v="252"/>
    </i>
    <i t="data" r="0" i="0">
      <x v="253"/>
    </i>
    <i t="data" r="0" i="0">
      <x v="254"/>
    </i>
    <i t="data" r="0" i="0">
      <x v="255"/>
    </i>
    <i t="data" r="0" i="0">
      <x v="256"/>
    </i>
    <i t="data" r="0" i="0">
      <x v="257"/>
    </i>
    <i t="data" r="0" i="0">
      <x v="258"/>
    </i>
    <i t="data" r="0" i="0">
      <x v="259"/>
    </i>
    <i t="data" r="0" i="0">
      <x v="260"/>
    </i>
    <i t="data" r="0" i="0">
      <x v="261"/>
    </i>
    <i t="data" r="0" i="0">
      <x v="262"/>
    </i>
    <i t="data" r="0" i="0">
      <x v="263"/>
    </i>
    <i t="data" r="0" i="0">
      <x v="264"/>
    </i>
    <i t="data" r="0" i="0">
      <x v="265"/>
    </i>
    <i t="data" r="0" i="0">
      <x v="267"/>
    </i>
    <i t="grand" r="0" i="0">
      <x v="0"/>
    </i>
  </rowItems>
  <colItems count="1">
    <i t="data" r="0" i="0"/>
  </colItems>
  <dataFields count="1">
    <dataField name="Suma de g29-41" fld="19" subtotal="sum" showDataAs="normal" baseField="0" baseItem="0"/>
  </dataFields>
  <formats count="1">
    <format action="formatting" dxfId="2">
      <pivotArea type="normal" dataOnly="1" outline="1" collapsedLevelsAreSubtotals="1" fieldPosition="0">
        <references count="2">
          <reference field="4294967294" selected="0">
            <x v="0"/>
          </reference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:r="http://schemas.openxmlformats.org/officeDocument/2006/relationships" xmlns="http://schemas.openxmlformats.org/spreadsheetml/2006/main" name="Tabla dinámica1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g29-29" fld="16" subtotal="sum" showDataAs="normal" baseField="0" baseItem="0"/>
  </dataFields>
  <chartFormats count="1">
    <chartFormat chart="0" format="25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:r="http://schemas.openxmlformats.org/officeDocument/2006/relationships" xmlns="http://schemas.openxmlformats.org/spreadsheetml/2006/main" name="TablaDinámica3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m="1" x="223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29-35" fld="22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:r="http://schemas.openxmlformats.org/officeDocument/2006/relationships" xmlns="http://schemas.openxmlformats.org/spreadsheetml/2006/main" name="Tabla dinámica2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41" fld="18" subtotal="sum" showDataAs="normal" baseField="0" baseItem="0"/>
  </dataFields>
  <formats count="1">
    <format action="formatting" dxfId="1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:r="http://schemas.openxmlformats.org/officeDocument/2006/relationships" xmlns="http://schemas.openxmlformats.org/spreadsheetml/2006/main" name="TablaDinámica4" cacheId="5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25" firstHeaderRow="1" firstDataRow="1" firstDataCol="1"/>
  <pivotFields count="24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25"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8"/>
        <item t="data" sd="1" x="7"/>
        <item t="data" sd="1" x="6"/>
        <item t="data" sd="1" x="5"/>
        <item t="data" sd="1" m="1" x="223"/>
        <item t="data" sd="1" x="0"/>
        <item t="data" sd="1" x="1"/>
        <item t="data" sd="1" x="2"/>
        <item t="data" sd="1" x="3"/>
        <item t="data" sd="1" x="4"/>
        <item t="data" sd="1" x="9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2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grand" r="0" i="0">
      <x v="0"/>
    </i>
  </rowItems>
  <colItems count="1">
    <i t="data" r="0" i="0"/>
  </colItems>
  <dataFields count="1">
    <dataField name="Suma de 30-35" fld="21" subtotal="sum" showDataAs="normal" baseField="0" baseItem="1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:r="http://schemas.openxmlformats.org/officeDocument/2006/relationships" xmlns="http://schemas.openxmlformats.org/spreadsheetml/2006/main" name="Tabla dinámica7" cacheId="4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05" firstHeaderRow="1" firstDataRow="1" firstDataCol="1"/>
  <pivotFields count="19">
    <pivotField axis="axisRow" showDropDowns="1" compact="1" numFmtId="14" outline="1" subtotalTop="1" dragToRow="1" dragToCol="1" dragToPage="1" dragToData="1" dragOff="1" showAll="0" topAutoShow="1" itemPageCount="10" sortType="ascending" defaultSubtotal="1">
      <items count="205"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m="1" x="203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0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04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grand" r="0" i="0">
      <x v="0"/>
    </i>
  </rowItems>
  <colItems count="1">
    <i t="data" r="0" i="0"/>
  </colItems>
  <dataFields count="1">
    <dataField name="Suma de 29-30" fld="15" subtotal="sum" showDataAs="normal" baseField="0" baseItem="0"/>
  </dataFields>
  <formats count="1">
    <format action="formatting" dxfId="0">
      <pivotArea type="normal" dataOnly="1" outline="1" collapsedLevelsAreSubtotals="1" fieldPosition="0">
        <references count="1">
          <reference field="0"/>
        </references>
      </pivotArea>
    </format>
  </formats>
  <chartFormats count="1">
    <chartFormat chart="0" format="0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:r="http://schemas.openxmlformats.org/officeDocument/2006/relationships" xmlns="http://schemas.openxmlformats.org/spreadsheetml/2006/main" name="TablaDinámica2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numFmtId="14" outline="1" subtotalTop="1" dragToRow="1" dragToCol="1" dragToPage="1" dragToData="1" dragOff="1" showAll="0" topAutoShow="1" itemPageCount="10" sortType="manual" defaultSubtotal="1">
      <items count="253"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0"/>
        <item t="data" sd="1" x="1"/>
        <item t="data" sd="1" x="2"/>
        <item t="data" sd="1" x="3"/>
        <item t="data" sd="1" x="4"/>
        <item t="data" sd="1" x="5"/>
        <item t="data" sd="1" x="6"/>
        <item t="data" sd="1" x="7"/>
        <item t="data" sd="1" x="8"/>
        <item t="data" sd="1" x="9"/>
        <item t="data" sd="1" x="10"/>
        <item t="data" sd="1" x="11"/>
        <item t="data" sd="1" x="12"/>
        <item t="data" sd="1" x="13"/>
        <item t="data" sd="1" x="14"/>
        <item t="data" sd="1" x="15"/>
        <item t="data" sd="1" x="16"/>
        <item t="data" sd="1" x="17"/>
        <item t="data" sd="1" x="18"/>
        <item t="data" sd="1" x="19"/>
        <item t="data" sd="1" x="20"/>
        <item t="data" sd="1" x="21"/>
        <item t="data" sd="1" x="22"/>
        <item t="data" sd="1" x="23"/>
        <item t="data" sd="1" x="24"/>
        <item t="data" sd="1" x="25"/>
        <item t="data" sd="1" x="26"/>
        <item t="data" sd="1" x="27"/>
        <item t="data" sd="1" x="28"/>
        <item t="data" sd="1" x="29"/>
        <item t="data" sd="1" x="30"/>
        <item t="data" sd="1" x="31"/>
        <item t="data" sd="1" x="32"/>
        <item t="data" sd="1" x="33"/>
        <item t="data" sd="1" x="34"/>
        <item t="data" sd="1" x="35"/>
        <item t="data" sd="1" x="36"/>
        <item t="data" sd="1" x="37"/>
        <item t="data" sd="1" x="38"/>
        <item t="data" sd="1" x="39"/>
        <item t="data" sd="1" x="40"/>
        <item t="data" sd="1" x="41"/>
        <item t="data" sd="1" x="42"/>
        <item t="data" sd="1" x="43"/>
        <item t="data" sd="1" x="44"/>
        <item t="data" sd="1" x="45"/>
        <item t="data" sd="1" x="46"/>
        <item t="data" sd="1" x="47"/>
        <item t="data" sd="1" x="48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29-38" fld="17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:r="http://schemas.openxmlformats.org/officeDocument/2006/relationships" xmlns="http://schemas.openxmlformats.org/spreadsheetml/2006/main" name="TablaDinámica2" cacheId="6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6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54" firstHeaderRow="1" firstDataRow="1" firstDataCol="1"/>
  <pivotFields count="25">
    <pivotField axis="axisRow" showDropDowns="1" compact="1" outline="1" subtotalTop="1" dragToRow="1" dragToCol="1" dragToPage="1" dragToData="1" dragOff="1" showAll="0" topAutoShow="1" itemPageCount="10" sortType="manual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x="251"/>
        <item t="data" sd="1" x="250"/>
        <item t="data" sd="1" x="249"/>
        <item t="data" sd="1" x="248"/>
        <item t="data" sd="1" x="247"/>
        <item t="data" sd="1" x="246"/>
        <item t="data" sd="1" x="245"/>
        <item t="data" sd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2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  <pivotField dataField="1" showDropDowns="1" compact="1" numFmtId="10" outline="1" subtotalTop="1" dragToRow="1" dragToCol="1" dragToPage="1" dragToData="1" dragOff="1" showAll="0" topAutoShow="1" itemPageCount="10" sortType="manual" defaultSubtotal="1"/>
    <pivotField showDropDowns="1" compact="1" numFmtId="10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53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7"/>
    </i>
    <i t="data" r="0" i="0">
      <x v="8"/>
    </i>
    <i t="data" r="0" i="0">
      <x v="9"/>
    </i>
    <i t="data" r="0" i="0">
      <x v="10"/>
    </i>
    <i t="data" r="0" i="0">
      <x v="11"/>
    </i>
    <i t="data" r="0" i="0">
      <x v="12"/>
    </i>
    <i t="data" r="0" i="0">
      <x v="13"/>
    </i>
    <i t="data" r="0" i="0">
      <x v="14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g30-30" fld="23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3.xml><?xml version="1.0" encoding="utf-8"?>
<pivotTableDefinition xmlns:r="http://schemas.openxmlformats.org/officeDocument/2006/relationships" xmlns="http://schemas.openxmlformats.org/spreadsheetml/2006/main" name="Tabla dinámica4" cacheId="0" dataOnRows="0" dataCaption="Valores" showError="0" showMissing="1" updatedVersion="6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4" indent="0" showEmptyRow="0" showEmptyCol="0" showHeaders="1" compact="1" outline="1" outlineData="1" compactData="1" published="0" gridDropZones="0" immersive="1" multipleFieldFilters="0" chartFormat="1" fieldListSortAscending="0" mdxSubqueries="0" applyNumberFormats="0" applyBorderFormats="0" applyFontFormats="0" applyPatternFormats="0" applyAlignmentFormats="0" applyWidthHeightFormats="1" r:id="rId1">
  <location ref="A1:B246" firstHeaderRow="1" firstDataRow="1" firstDataCol="1"/>
  <pivotFields count="21">
    <pivotField axis="axisRow" showDropDowns="1" compact="1" outline="1" subtotalTop="1" dragToRow="1" dragToCol="1" dragToPage="1" dragToData="1" dragOff="1" showAll="0" topAutoShow="1" itemPageCount="10" sortType="ascending" defaultSubtotal="1">
      <items count="253">
        <item t="data" sd="1" x="6"/>
        <item t="data" sd="1" x="5"/>
        <item t="data" sd="1" x="4"/>
        <item t="data" sd="1" x="3"/>
        <item t="data" sd="1" x="2"/>
        <item t="data" sd="1" x="1"/>
        <item t="data" sd="1" x="0"/>
        <item t="data" sd="1" m="1" x="248"/>
        <item t="data" sd="1" m="1" x="245"/>
        <item t="data" sd="1" m="1" x="251"/>
        <item t="data" sd="1" m="1" x="250"/>
        <item t="data" sd="1" m="1" x="247"/>
        <item t="data" sd="1" m="1" x="249"/>
        <item t="data" sd="1" m="1" x="246"/>
        <item t="data" sd="1" m="1" x="244"/>
        <item t="data" sd="1" x="243"/>
        <item t="data" sd="1" x="242"/>
        <item t="data" sd="1" x="241"/>
        <item t="data" sd="1" x="240"/>
        <item t="data" sd="1" x="239"/>
        <item t="data" sd="1" x="238"/>
        <item t="data" sd="1" x="237"/>
        <item t="data" sd="1" x="236"/>
        <item t="data" sd="1" x="235"/>
        <item t="data" sd="1" x="234"/>
        <item t="data" sd="1" x="233"/>
        <item t="data" sd="1" x="232"/>
        <item t="data" sd="1" x="231"/>
        <item t="data" sd="1" x="230"/>
        <item t="data" sd="1" x="229"/>
        <item t="data" sd="1" x="228"/>
        <item t="data" sd="1" x="227"/>
        <item t="data" sd="1" x="226"/>
        <item t="data" sd="1" x="225"/>
        <item t="data" sd="1" x="224"/>
        <item t="data" sd="1" x="223"/>
        <item t="data" sd="1" x="222"/>
        <item t="data" sd="1" x="221"/>
        <item t="data" sd="1" x="220"/>
        <item t="data" sd="1" x="219"/>
        <item t="data" sd="1" x="218"/>
        <item t="data" sd="1" x="217"/>
        <item t="data" sd="1" x="216"/>
        <item t="data" sd="1" x="215"/>
        <item t="data" sd="1" x="214"/>
        <item t="data" sd="1" x="213"/>
        <item t="data" sd="1" x="212"/>
        <item t="data" sd="1" x="211"/>
        <item t="data" sd="1" x="210"/>
        <item t="data" sd="1" x="209"/>
        <item t="data" sd="1" x="208"/>
        <item t="data" sd="1" x="207"/>
        <item t="data" sd="1" x="206"/>
        <item t="data" sd="1" x="205"/>
        <item t="data" sd="1" x="204"/>
        <item t="data" sd="1" x="203"/>
        <item t="data" sd="1" x="202"/>
        <item t="data" sd="1" x="201"/>
        <item t="data" sd="1" x="200"/>
        <item t="data" sd="1" x="199"/>
        <item t="data" sd="1" x="198"/>
        <item t="data" sd="1" x="197"/>
        <item t="data" sd="1" x="196"/>
        <item t="data" sd="1" x="195"/>
        <item t="data" sd="1" x="194"/>
        <item t="data" sd="1" x="193"/>
        <item t="data" sd="1" x="192"/>
        <item t="data" sd="1" x="191"/>
        <item t="data" sd="1" x="190"/>
        <item t="data" sd="1" x="189"/>
        <item t="data" sd="1" x="188"/>
        <item t="data" sd="1" x="187"/>
        <item t="data" sd="1" x="186"/>
        <item t="data" sd="1" x="185"/>
        <item t="data" sd="1" x="184"/>
        <item t="data" sd="1" x="183"/>
        <item t="data" sd="1" x="182"/>
        <item t="data" sd="1" x="181"/>
        <item t="data" sd="1" x="180"/>
        <item t="data" sd="1" x="179"/>
        <item t="data" sd="1" x="178"/>
        <item t="data" sd="1" x="177"/>
        <item t="data" sd="1" x="176"/>
        <item t="data" sd="1" x="175"/>
        <item t="data" sd="1" x="174"/>
        <item t="data" sd="1" x="173"/>
        <item t="data" sd="1" x="172"/>
        <item t="data" sd="1" x="171"/>
        <item t="data" sd="1" x="170"/>
        <item t="data" sd="1" x="169"/>
        <item t="data" sd="1" x="168"/>
        <item t="data" sd="1" x="167"/>
        <item t="data" sd="1" x="166"/>
        <item t="data" sd="1" x="165"/>
        <item t="data" sd="1" x="164"/>
        <item t="data" sd="1" x="163"/>
        <item t="data" sd="1" x="162"/>
        <item t="data" sd="1" x="161"/>
        <item t="data" sd="1" x="160"/>
        <item t="data" sd="1" x="159"/>
        <item t="data" sd="1" x="158"/>
        <item t="data" sd="1" x="157"/>
        <item t="data" sd="1" x="156"/>
        <item t="data" sd="1" x="155"/>
        <item t="data" sd="1" x="154"/>
        <item t="data" sd="1" x="153"/>
        <item t="data" sd="1" x="152"/>
        <item t="data" sd="1" x="151"/>
        <item t="data" sd="1" x="150"/>
        <item t="data" sd="1" x="149"/>
        <item t="data" sd="1" x="148"/>
        <item t="data" sd="1" x="147"/>
        <item t="data" sd="1" x="146"/>
        <item t="data" sd="1" x="145"/>
        <item t="data" sd="1" x="144"/>
        <item t="data" sd="1" x="143"/>
        <item t="data" sd="1" x="142"/>
        <item t="data" sd="1" x="141"/>
        <item t="data" sd="1" x="140"/>
        <item t="data" sd="1" x="139"/>
        <item t="data" sd="1" x="138"/>
        <item t="data" sd="1" x="137"/>
        <item t="data" sd="1" x="136"/>
        <item t="data" sd="1" x="135"/>
        <item t="data" sd="1" x="134"/>
        <item t="data" sd="1" x="133"/>
        <item t="data" sd="1" x="132"/>
        <item t="data" sd="1" x="131"/>
        <item t="data" sd="1" x="130"/>
        <item t="data" sd="1" x="129"/>
        <item t="data" sd="1" x="128"/>
        <item t="data" sd="1" x="127"/>
        <item t="data" sd="1" x="126"/>
        <item t="data" sd="1" x="125"/>
        <item t="data" sd="1" x="124"/>
        <item t="data" sd="1" x="123"/>
        <item t="data" sd="1" x="122"/>
        <item t="data" sd="1" x="121"/>
        <item t="data" sd="1" x="120"/>
        <item t="data" sd="1" x="119"/>
        <item t="data" sd="1" x="118"/>
        <item t="data" sd="1" x="117"/>
        <item t="data" sd="1" x="116"/>
        <item t="data" sd="1" x="115"/>
        <item t="data" sd="1" x="114"/>
        <item t="data" sd="1" x="113"/>
        <item t="data" sd="1" x="112"/>
        <item t="data" sd="1" x="111"/>
        <item t="data" sd="1" x="110"/>
        <item t="data" sd="1" x="109"/>
        <item t="data" sd="1" x="108"/>
        <item t="data" sd="1" x="107"/>
        <item t="data" sd="1" x="106"/>
        <item t="data" sd="1" x="105"/>
        <item t="data" sd="1" x="104"/>
        <item t="data" sd="1" x="103"/>
        <item t="data" sd="1" x="102"/>
        <item t="data" sd="1" x="101"/>
        <item t="data" sd="1" x="100"/>
        <item t="data" sd="1" x="99"/>
        <item t="data" sd="1" x="98"/>
        <item t="data" sd="1" x="97"/>
        <item t="data" sd="1" x="96"/>
        <item t="data" sd="1" x="95"/>
        <item t="data" sd="1" x="94"/>
        <item t="data" sd="1" x="93"/>
        <item t="data" sd="1" x="92"/>
        <item t="data" sd="1" x="91"/>
        <item t="data" sd="1" x="90"/>
        <item t="data" sd="1" x="89"/>
        <item t="data" sd="1" x="88"/>
        <item t="data" sd="1" x="87"/>
        <item t="data" sd="1" x="86"/>
        <item t="data" sd="1" x="85"/>
        <item t="data" sd="1" x="84"/>
        <item t="data" sd="1" x="83"/>
        <item t="data" sd="1" x="82"/>
        <item t="data" sd="1" x="81"/>
        <item t="data" sd="1" x="80"/>
        <item t="data" sd="1" x="79"/>
        <item t="data" sd="1" x="78"/>
        <item t="data" sd="1" x="77"/>
        <item t="data" sd="1" x="76"/>
        <item t="data" sd="1" x="75"/>
        <item t="data" sd="1" x="74"/>
        <item t="data" sd="1" x="73"/>
        <item t="data" sd="1" x="72"/>
        <item t="data" sd="1" x="71"/>
        <item t="data" sd="1" x="70"/>
        <item t="data" sd="1" x="69"/>
        <item t="data" sd="1" x="68"/>
        <item t="data" sd="1" x="67"/>
        <item t="data" sd="1" x="66"/>
        <item t="data" sd="1" x="65"/>
        <item t="data" sd="1" x="64"/>
        <item t="data" sd="1" x="63"/>
        <item t="data" sd="1" x="62"/>
        <item t="data" sd="1" x="61"/>
        <item t="data" sd="1" x="60"/>
        <item t="data" sd="1" x="59"/>
        <item t="data" sd="1" x="58"/>
        <item t="data" sd="1" x="57"/>
        <item t="data" sd="1" x="56"/>
        <item t="data" sd="1" x="55"/>
        <item t="data" sd="1" x="54"/>
        <item t="data" sd="1" x="53"/>
        <item t="data" sd="1" x="52"/>
        <item t="data" sd="1" x="51"/>
        <item t="data" sd="1" x="50"/>
        <item t="data" sd="1" x="49"/>
        <item t="data" sd="1" x="48"/>
        <item t="data" sd="1" x="47"/>
        <item t="data" sd="1" x="46"/>
        <item t="data" sd="1" x="45"/>
        <item t="data" sd="1" x="44"/>
        <item t="data" sd="1" x="43"/>
        <item t="data" sd="1" x="42"/>
        <item t="data" sd="1" x="41"/>
        <item t="data" sd="1" x="40"/>
        <item t="data" sd="1" x="39"/>
        <item t="data" sd="1" x="38"/>
        <item t="data" sd="1" x="37"/>
        <item t="data" sd="1" x="36"/>
        <item t="data" sd="1" x="35"/>
        <item t="data" sd="1" x="34"/>
        <item t="data" sd="1" x="33"/>
        <item t="data" sd="1" x="32"/>
        <item t="data" sd="1" x="31"/>
        <item t="data" sd="1" x="30"/>
        <item t="data" sd="1" x="29"/>
        <item t="data" sd="1" x="28"/>
        <item t="data" sd="1" x="27"/>
        <item t="data" sd="1" x="26"/>
        <item t="data" sd="1" x="25"/>
        <item t="data" sd="1" x="24"/>
        <item t="data" sd="1" x="23"/>
        <item t="data" sd="1" x="22"/>
        <item t="data" sd="1" x="21"/>
        <item t="data" sd="1" x="20"/>
        <item t="data" sd="1" x="19"/>
        <item t="data" sd="1" x="18"/>
        <item t="data" sd="1" x="17"/>
        <item t="data" sd="1" x="16"/>
        <item t="data" sd="1" x="15"/>
        <item t="data" sd="1" x="14"/>
        <item t="data" sd="1" x="13"/>
        <item t="data" sd="1" x="12"/>
        <item t="data" sd="1" x="11"/>
        <item t="data" sd="1" x="10"/>
        <item t="data" sd="1" x="9"/>
        <item t="data" sd="1" x="8"/>
        <item t="data" sd="1" x="7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0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</pivotFields>
  <rowFields count="1">
    <field x="0"/>
  </rowFields>
  <rowItems count="245">
    <i t="data" r="0" i="0">
      <x v="0"/>
    </i>
    <i t="data" r="0" i="0">
      <x v="1"/>
    </i>
    <i t="data" r="0" i="0">
      <x v="2"/>
    </i>
    <i t="data" r="0" i="0">
      <x v="3"/>
    </i>
    <i t="data" r="0" i="0">
      <x v="4"/>
    </i>
    <i t="data" r="0" i="0">
      <x v="5"/>
    </i>
    <i t="data" r="0" i="0">
      <x v="6"/>
    </i>
    <i t="data" r="0" i="0">
      <x v="15"/>
    </i>
    <i t="data" r="0" i="0">
      <x v="16"/>
    </i>
    <i t="data" r="0" i="0">
      <x v="17"/>
    </i>
    <i t="data" r="0" i="0">
      <x v="18"/>
    </i>
    <i t="data" r="0" i="0">
      <x v="19"/>
    </i>
    <i t="data" r="0" i="0">
      <x v="20"/>
    </i>
    <i t="data" r="0" i="0">
      <x v="21"/>
    </i>
    <i t="data" r="0" i="0">
      <x v="22"/>
    </i>
    <i t="data" r="0" i="0">
      <x v="23"/>
    </i>
    <i t="data" r="0" i="0">
      <x v="24"/>
    </i>
    <i t="data" r="0" i="0">
      <x v="25"/>
    </i>
    <i t="data" r="0" i="0">
      <x v="26"/>
    </i>
    <i t="data" r="0" i="0">
      <x v="27"/>
    </i>
    <i t="data" r="0" i="0">
      <x v="28"/>
    </i>
    <i t="data" r="0" i="0">
      <x v="29"/>
    </i>
    <i t="data" r="0" i="0">
      <x v="30"/>
    </i>
    <i t="data" r="0" i="0">
      <x v="31"/>
    </i>
    <i t="data" r="0" i="0">
      <x v="32"/>
    </i>
    <i t="data" r="0" i="0">
      <x v="33"/>
    </i>
    <i t="data" r="0" i="0">
      <x v="34"/>
    </i>
    <i t="data" r="0" i="0">
      <x v="35"/>
    </i>
    <i t="data" r="0" i="0">
      <x v="36"/>
    </i>
    <i t="data" r="0" i="0">
      <x v="37"/>
    </i>
    <i t="data" r="0" i="0">
      <x v="38"/>
    </i>
    <i t="data" r="0" i="0">
      <x v="39"/>
    </i>
    <i t="data" r="0" i="0">
      <x v="40"/>
    </i>
    <i t="data" r="0" i="0">
      <x v="41"/>
    </i>
    <i t="data" r="0" i="0">
      <x v="42"/>
    </i>
    <i t="data" r="0" i="0">
      <x v="43"/>
    </i>
    <i t="data" r="0" i="0">
      <x v="44"/>
    </i>
    <i t="data" r="0" i="0">
      <x v="45"/>
    </i>
    <i t="data" r="0" i="0">
      <x v="46"/>
    </i>
    <i t="data" r="0" i="0">
      <x v="47"/>
    </i>
    <i t="data" r="0" i="0">
      <x v="48"/>
    </i>
    <i t="data" r="0" i="0">
      <x v="49"/>
    </i>
    <i t="data" r="0" i="0">
      <x v="50"/>
    </i>
    <i t="data" r="0" i="0">
      <x v="51"/>
    </i>
    <i t="data" r="0" i="0">
      <x v="52"/>
    </i>
    <i t="data" r="0" i="0">
      <x v="53"/>
    </i>
    <i t="data" r="0" i="0">
      <x v="54"/>
    </i>
    <i t="data" r="0" i="0">
      <x v="55"/>
    </i>
    <i t="data" r="0" i="0">
      <x v="56"/>
    </i>
    <i t="data" r="0" i="0">
      <x v="57"/>
    </i>
    <i t="data" r="0" i="0">
      <x v="58"/>
    </i>
    <i t="data" r="0" i="0">
      <x v="59"/>
    </i>
    <i t="data" r="0" i="0">
      <x v="60"/>
    </i>
    <i t="data" r="0" i="0">
      <x v="61"/>
    </i>
    <i t="data" r="0" i="0">
      <x v="62"/>
    </i>
    <i t="data" r="0" i="0">
      <x v="63"/>
    </i>
    <i t="data" r="0" i="0">
      <x v="64"/>
    </i>
    <i t="data" r="0" i="0">
      <x v="65"/>
    </i>
    <i t="data" r="0" i="0">
      <x v="66"/>
    </i>
    <i t="data" r="0" i="0">
      <x v="67"/>
    </i>
    <i t="data" r="0" i="0">
      <x v="68"/>
    </i>
    <i t="data" r="0" i="0">
      <x v="69"/>
    </i>
    <i t="data" r="0" i="0">
      <x v="70"/>
    </i>
    <i t="data" r="0" i="0">
      <x v="71"/>
    </i>
    <i t="data" r="0" i="0">
      <x v="72"/>
    </i>
    <i t="data" r="0" i="0">
      <x v="73"/>
    </i>
    <i t="data" r="0" i="0">
      <x v="74"/>
    </i>
    <i t="data" r="0" i="0">
      <x v="75"/>
    </i>
    <i t="data" r="0" i="0">
      <x v="76"/>
    </i>
    <i t="data" r="0" i="0">
      <x v="77"/>
    </i>
    <i t="data" r="0" i="0">
      <x v="78"/>
    </i>
    <i t="data" r="0" i="0">
      <x v="79"/>
    </i>
    <i t="data" r="0" i="0">
      <x v="80"/>
    </i>
    <i t="data" r="0" i="0">
      <x v="81"/>
    </i>
    <i t="data" r="0" i="0">
      <x v="82"/>
    </i>
    <i t="data" r="0" i="0">
      <x v="83"/>
    </i>
    <i t="data" r="0" i="0">
      <x v="84"/>
    </i>
    <i t="data" r="0" i="0">
      <x v="85"/>
    </i>
    <i t="data" r="0" i="0">
      <x v="86"/>
    </i>
    <i t="data" r="0" i="0">
      <x v="87"/>
    </i>
    <i t="data" r="0" i="0">
      <x v="88"/>
    </i>
    <i t="data" r="0" i="0">
      <x v="89"/>
    </i>
    <i t="data" r="0" i="0">
      <x v="90"/>
    </i>
    <i t="data" r="0" i="0">
      <x v="91"/>
    </i>
    <i t="data" r="0" i="0">
      <x v="92"/>
    </i>
    <i t="data" r="0" i="0">
      <x v="93"/>
    </i>
    <i t="data" r="0" i="0">
      <x v="94"/>
    </i>
    <i t="data" r="0" i="0">
      <x v="95"/>
    </i>
    <i t="data" r="0" i="0">
      <x v="96"/>
    </i>
    <i t="data" r="0" i="0">
      <x v="97"/>
    </i>
    <i t="data" r="0" i="0">
      <x v="98"/>
    </i>
    <i t="data" r="0" i="0">
      <x v="99"/>
    </i>
    <i t="data" r="0" i="0">
      <x v="100"/>
    </i>
    <i t="data" r="0" i="0">
      <x v="101"/>
    </i>
    <i t="data" r="0" i="0">
      <x v="102"/>
    </i>
    <i t="data" r="0" i="0">
      <x v="103"/>
    </i>
    <i t="data" r="0" i="0">
      <x v="104"/>
    </i>
    <i t="data" r="0" i="0">
      <x v="105"/>
    </i>
    <i t="data" r="0" i="0">
      <x v="106"/>
    </i>
    <i t="data" r="0" i="0">
      <x v="107"/>
    </i>
    <i t="data" r="0" i="0">
      <x v="108"/>
    </i>
    <i t="data" r="0" i="0">
      <x v="109"/>
    </i>
    <i t="data" r="0" i="0">
      <x v="110"/>
    </i>
    <i t="data" r="0" i="0">
      <x v="111"/>
    </i>
    <i t="data" r="0" i="0">
      <x v="112"/>
    </i>
    <i t="data" r="0" i="0">
      <x v="113"/>
    </i>
    <i t="data" r="0" i="0">
      <x v="114"/>
    </i>
    <i t="data" r="0" i="0">
      <x v="115"/>
    </i>
    <i t="data" r="0" i="0">
      <x v="116"/>
    </i>
    <i t="data" r="0" i="0">
      <x v="117"/>
    </i>
    <i t="data" r="0" i="0">
      <x v="118"/>
    </i>
    <i t="data" r="0" i="0">
      <x v="119"/>
    </i>
    <i t="data" r="0" i="0">
      <x v="120"/>
    </i>
    <i t="data" r="0" i="0">
      <x v="121"/>
    </i>
    <i t="data" r="0" i="0">
      <x v="122"/>
    </i>
    <i t="data" r="0" i="0">
      <x v="123"/>
    </i>
    <i t="data" r="0" i="0">
      <x v="124"/>
    </i>
    <i t="data" r="0" i="0">
      <x v="125"/>
    </i>
    <i t="data" r="0" i="0">
      <x v="126"/>
    </i>
    <i t="data" r="0" i="0">
      <x v="127"/>
    </i>
    <i t="data" r="0" i="0">
      <x v="128"/>
    </i>
    <i t="data" r="0" i="0">
      <x v="129"/>
    </i>
    <i t="data" r="0" i="0">
      <x v="130"/>
    </i>
    <i t="data" r="0" i="0">
      <x v="131"/>
    </i>
    <i t="data" r="0" i="0">
      <x v="132"/>
    </i>
    <i t="data" r="0" i="0">
      <x v="133"/>
    </i>
    <i t="data" r="0" i="0">
      <x v="134"/>
    </i>
    <i t="data" r="0" i="0">
      <x v="135"/>
    </i>
    <i t="data" r="0" i="0">
      <x v="136"/>
    </i>
    <i t="data" r="0" i="0">
      <x v="137"/>
    </i>
    <i t="data" r="0" i="0">
      <x v="138"/>
    </i>
    <i t="data" r="0" i="0">
      <x v="139"/>
    </i>
    <i t="data" r="0" i="0">
      <x v="140"/>
    </i>
    <i t="data" r="0" i="0">
      <x v="141"/>
    </i>
    <i t="data" r="0" i="0">
      <x v="142"/>
    </i>
    <i t="data" r="0" i="0">
      <x v="143"/>
    </i>
    <i t="data" r="0" i="0">
      <x v="144"/>
    </i>
    <i t="data" r="0" i="0">
      <x v="145"/>
    </i>
    <i t="data" r="0" i="0">
      <x v="146"/>
    </i>
    <i t="data" r="0" i="0">
      <x v="147"/>
    </i>
    <i t="data" r="0" i="0">
      <x v="148"/>
    </i>
    <i t="data" r="0" i="0">
      <x v="149"/>
    </i>
    <i t="data" r="0" i="0">
      <x v="150"/>
    </i>
    <i t="data" r="0" i="0">
      <x v="151"/>
    </i>
    <i t="data" r="0" i="0">
      <x v="152"/>
    </i>
    <i t="data" r="0" i="0">
      <x v="153"/>
    </i>
    <i t="data" r="0" i="0">
      <x v="154"/>
    </i>
    <i t="data" r="0" i="0">
      <x v="155"/>
    </i>
    <i t="data" r="0" i="0">
      <x v="156"/>
    </i>
    <i t="data" r="0" i="0">
      <x v="157"/>
    </i>
    <i t="data" r="0" i="0">
      <x v="158"/>
    </i>
    <i t="data" r="0" i="0">
      <x v="159"/>
    </i>
    <i t="data" r="0" i="0">
      <x v="160"/>
    </i>
    <i t="data" r="0" i="0">
      <x v="161"/>
    </i>
    <i t="data" r="0" i="0">
      <x v="162"/>
    </i>
    <i t="data" r="0" i="0">
      <x v="163"/>
    </i>
    <i t="data" r="0" i="0">
      <x v="164"/>
    </i>
    <i t="data" r="0" i="0">
      <x v="165"/>
    </i>
    <i t="data" r="0" i="0">
      <x v="166"/>
    </i>
    <i t="data" r="0" i="0">
      <x v="167"/>
    </i>
    <i t="data" r="0" i="0">
      <x v="168"/>
    </i>
    <i t="data" r="0" i="0">
      <x v="169"/>
    </i>
    <i t="data" r="0" i="0">
      <x v="170"/>
    </i>
    <i t="data" r="0" i="0">
      <x v="171"/>
    </i>
    <i t="data" r="0" i="0">
      <x v="172"/>
    </i>
    <i t="data" r="0" i="0">
      <x v="173"/>
    </i>
    <i t="data" r="0" i="0">
      <x v="174"/>
    </i>
    <i t="data" r="0" i="0">
      <x v="175"/>
    </i>
    <i t="data" r="0" i="0">
      <x v="176"/>
    </i>
    <i t="data" r="0" i="0">
      <x v="177"/>
    </i>
    <i t="data" r="0" i="0">
      <x v="178"/>
    </i>
    <i t="data" r="0" i="0">
      <x v="179"/>
    </i>
    <i t="data" r="0" i="0">
      <x v="180"/>
    </i>
    <i t="data" r="0" i="0">
      <x v="181"/>
    </i>
    <i t="data" r="0" i="0">
      <x v="182"/>
    </i>
    <i t="data" r="0" i="0">
      <x v="183"/>
    </i>
    <i t="data" r="0" i="0">
      <x v="184"/>
    </i>
    <i t="data" r="0" i="0">
      <x v="185"/>
    </i>
    <i t="data" r="0" i="0">
      <x v="186"/>
    </i>
    <i t="data" r="0" i="0">
      <x v="187"/>
    </i>
    <i t="data" r="0" i="0">
      <x v="188"/>
    </i>
    <i t="data" r="0" i="0">
      <x v="189"/>
    </i>
    <i t="data" r="0" i="0">
      <x v="190"/>
    </i>
    <i t="data" r="0" i="0">
      <x v="191"/>
    </i>
    <i t="data" r="0" i="0">
      <x v="192"/>
    </i>
    <i t="data" r="0" i="0">
      <x v="193"/>
    </i>
    <i t="data" r="0" i="0">
      <x v="194"/>
    </i>
    <i t="data" r="0" i="0">
      <x v="195"/>
    </i>
    <i t="data" r="0" i="0">
      <x v="196"/>
    </i>
    <i t="data" r="0" i="0">
      <x v="197"/>
    </i>
    <i t="data" r="0" i="0">
      <x v="198"/>
    </i>
    <i t="data" r="0" i="0">
      <x v="199"/>
    </i>
    <i t="data" r="0" i="0">
      <x v="200"/>
    </i>
    <i t="data" r="0" i="0">
      <x v="201"/>
    </i>
    <i t="data" r="0" i="0">
      <x v="202"/>
    </i>
    <i t="data" r="0" i="0">
      <x v="203"/>
    </i>
    <i t="data" r="0" i="0">
      <x v="204"/>
    </i>
    <i t="data" r="0" i="0">
      <x v="205"/>
    </i>
    <i t="data" r="0" i="0">
      <x v="206"/>
    </i>
    <i t="data" r="0" i="0">
      <x v="207"/>
    </i>
    <i t="data" r="0" i="0">
      <x v="208"/>
    </i>
    <i t="data" r="0" i="0">
      <x v="209"/>
    </i>
    <i t="data" r="0" i="0">
      <x v="210"/>
    </i>
    <i t="data" r="0" i="0">
      <x v="211"/>
    </i>
    <i t="data" r="0" i="0">
      <x v="212"/>
    </i>
    <i t="data" r="0" i="0">
      <x v="213"/>
    </i>
    <i t="data" r="0" i="0">
      <x v="214"/>
    </i>
    <i t="data" r="0" i="0">
      <x v="215"/>
    </i>
    <i t="data" r="0" i="0">
      <x v="216"/>
    </i>
    <i t="data" r="0" i="0">
      <x v="217"/>
    </i>
    <i t="data" r="0" i="0">
      <x v="218"/>
    </i>
    <i t="data" r="0" i="0">
      <x v="219"/>
    </i>
    <i t="data" r="0" i="0">
      <x v="220"/>
    </i>
    <i t="data" r="0" i="0">
      <x v="221"/>
    </i>
    <i t="data" r="0" i="0">
      <x v="222"/>
    </i>
    <i t="data" r="0" i="0">
      <x v="223"/>
    </i>
    <i t="data" r="0" i="0">
      <x v="224"/>
    </i>
    <i t="data" r="0" i="0">
      <x v="225"/>
    </i>
    <i t="data" r="0" i="0">
      <x v="226"/>
    </i>
    <i t="data" r="0" i="0">
      <x v="227"/>
    </i>
    <i t="data" r="0" i="0">
      <x v="228"/>
    </i>
    <i t="data" r="0" i="0">
      <x v="229"/>
    </i>
    <i t="data" r="0" i="0">
      <x v="230"/>
    </i>
    <i t="data" r="0" i="0">
      <x v="231"/>
    </i>
    <i t="data" r="0" i="0">
      <x v="232"/>
    </i>
    <i t="data" r="0" i="0">
      <x v="233"/>
    </i>
    <i t="data" r="0" i="0">
      <x v="234"/>
    </i>
    <i t="data" r="0" i="0">
      <x v="235"/>
    </i>
    <i t="data" r="0" i="0">
      <x v="236"/>
    </i>
    <i t="data" r="0" i="0">
      <x v="237"/>
    </i>
    <i t="data" r="0" i="0">
      <x v="238"/>
    </i>
    <i t="data" r="0" i="0">
      <x v="239"/>
    </i>
    <i t="data" r="0" i="0">
      <x v="240"/>
    </i>
    <i t="data" r="0" i="0">
      <x v="241"/>
    </i>
    <i t="data" r="0" i="0">
      <x v="242"/>
    </i>
    <i t="data" r="0" i="0">
      <x v="243"/>
    </i>
    <i t="data" r="0" i="0">
      <x v="244"/>
    </i>
    <i t="data" r="0" i="0">
      <x v="245"/>
    </i>
    <i t="data" r="0" i="0">
      <x v="246"/>
    </i>
    <i t="data" r="0" i="0">
      <x v="247"/>
    </i>
    <i t="data" r="0" i="0">
      <x v="248"/>
    </i>
    <i t="data" r="0" i="0">
      <x v="249"/>
    </i>
    <i t="data" r="0" i="0">
      <x v="250"/>
    </i>
    <i t="data" r="0" i="0">
      <x v="251"/>
    </i>
    <i t="grand" r="0" i="0">
      <x v="0"/>
    </i>
  </rowItems>
  <colItems count="1">
    <i t="data" r="0" i="0"/>
  </colItems>
  <dataFields count="1">
    <dataField name="Suma de 30-41" fld="20" subtotal="sum" showDataAs="normal" baseField="0" baseItem="0"/>
  </dataFields>
  <chartFormats count="1">
    <chartFormat chart="0" format="1" series="1">
      <pivotArea type="data" dataOnly="1" outline="0" fieldPosition="0">
        <references count="1">
          <reference field="4294967294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pivotTable" Target="/xl/pivotTables/pivotTable1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pivotTable" Target="/xl/pivotTables/pivotTable2.xml" Id="rId2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pivotTable" Target="/xl/pivotTables/pivotTable3.xml" Id="rId2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4.xml" Id="rId1"/><Relationship Type="http://schemas.openxmlformats.org/officeDocument/2006/relationships/pivotTable" Target="/xl/pivotTables/pivotTable4.xml" Id="rId2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pivotTable" Target="/xl/pivotTables/pivotTable5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pivotTable" Target="/xl/pivotTables/pivotTable6.xml" Id="rId2"/></Relationships>
</file>

<file path=xl/worksheets/_rels/sheet10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pivotTable" Target="/xl/pivotTables/pivotTable7.xml" Id="rId2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8.xml" Id="rId1"/><Relationship Type="http://schemas.openxmlformats.org/officeDocument/2006/relationships/pivotTable" Target="/xl/pivotTables/pivotTable8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9.xml" Id="rId1"/><Relationship Type="http://schemas.openxmlformats.org/officeDocument/2006/relationships/pivotTable" Target="/xl/pivotTables/pivotTable9.xml" Id="rId2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10.xml" Id="rId1"/><Relationship Type="http://schemas.openxmlformats.org/officeDocument/2006/relationships/pivotTable" Target="/xl/pivotTables/pivotTable10.xml" Id="rId2"/></Relationships>
</file>

<file path=xl/worksheets/_rels/sheet14.xml.rels><Relationships xmlns="http://schemas.openxmlformats.org/package/2006/relationships"><Relationship Type="http://schemas.openxmlformats.org/officeDocument/2006/relationships/drawing" Target="/xl/drawings/drawing11.xml" Id="rId1"/><Relationship Type="http://schemas.openxmlformats.org/officeDocument/2006/relationships/pivotTable" Target="/xl/pivotTables/pivotTable11.xml" Id="rId2"/></Relationships>
</file>

<file path=xl/worksheets/_rels/sheet15.xml.rels><Relationships xmlns="http://schemas.openxmlformats.org/package/2006/relationships"><Relationship Type="http://schemas.openxmlformats.org/officeDocument/2006/relationships/drawing" Target="/xl/drawings/drawing12.xml" Id="rId1"/><Relationship Type="http://schemas.openxmlformats.org/officeDocument/2006/relationships/pivotTable" Target="/xl/pivotTables/pivotTable12.xml" Id="rId2"/></Relationships>
</file>

<file path=xl/worksheets/_rels/sheet16.xml.rels><Relationships xmlns="http://schemas.openxmlformats.org/package/2006/relationships"><Relationship Type="http://schemas.openxmlformats.org/officeDocument/2006/relationships/drawing" Target="/xl/drawings/drawing13.xml" Id="rId1"/><Relationship Type="http://schemas.openxmlformats.org/officeDocument/2006/relationships/pivotTable" Target="/xl/pivotTables/pivotTable13.xml" Id="rId2"/></Relationships>
</file>

<file path=xl/worksheets/sheet1.xml><?xml version="1.0" encoding="utf-8"?>
<worksheet xmlns="http://schemas.openxmlformats.org/spreadsheetml/2006/main">
  <sheetPr codeName="Hoja10">
    <outlinePr summaryBelow="1" summaryRight="1"/>
    <pageSetUpPr/>
  </sheetPr>
  <dimension ref="A1:Y115"/>
  <sheetViews>
    <sheetView workbookViewId="0">
      <selection activeCell="B8" sqref="B8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44078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44078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44078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8.75" customHeight="1" s="76">
      <c r="A9" s="30" t="inlineStr">
        <is>
          <t>Valor Tecnico</t>
        </is>
      </c>
      <c r="B9" s="46">
        <f>B7+B8</f>
        <v/>
      </c>
      <c r="C9" s="27" t="n"/>
      <c r="D9" s="27" t="n"/>
      <c r="E9" s="28" t="n"/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28" t="n"/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28" t="n"/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>
        <v>44386</v>
      </c>
      <c r="B10" s="12" t="inlineStr">
        <is>
          <t>USD</t>
        </is>
      </c>
      <c r="C10" s="38" t="n">
        <v>0.8472</v>
      </c>
      <c r="D10" s="13" t="n">
        <v>0</v>
      </c>
      <c r="E10" s="41" t="n">
        <v>0.8472</v>
      </c>
      <c r="F10" s="21" t="n"/>
      <c r="G10" s="11" t="n">
        <v>44386</v>
      </c>
      <c r="H10" t="inlineStr">
        <is>
          <t>USD</t>
        </is>
      </c>
      <c r="I10" s="13" t="n">
        <v>0.85</v>
      </c>
      <c r="J10" s="13" t="n">
        <v>0</v>
      </c>
      <c r="K10" s="14" t="n">
        <v>0.85</v>
      </c>
      <c r="L10" s="21" t="n"/>
      <c r="M10" s="11" t="n">
        <v>44386</v>
      </c>
      <c r="N10" t="inlineStr">
        <is>
          <t>USD</t>
        </is>
      </c>
      <c r="O10" s="13" t="n">
        <v>0.11</v>
      </c>
      <c r="P10" s="13" t="n">
        <v>0</v>
      </c>
      <c r="Q10" s="14" t="n">
        <v>0.11</v>
      </c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2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4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2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4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2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4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2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4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2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4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2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4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2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4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2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4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2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4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2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4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SUM(E10:E26)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44078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44078</v>
      </c>
      <c r="I34" s="27" t="n"/>
      <c r="J34" s="27" t="n"/>
      <c r="K34" s="28" t="n"/>
      <c r="M34" s="31" t="inlineStr">
        <is>
          <t>Fecha ultimo pago</t>
        </is>
      </c>
      <c r="N34" s="24" t="n">
        <v>44078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28" t="n"/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28" t="n"/>
      <c r="M38" s="31" t="inlineStr">
        <is>
          <t>Valor Tecnico</t>
        </is>
      </c>
      <c r="N38" s="46">
        <f>N36+N37</f>
        <v/>
      </c>
      <c r="O38" s="27" t="n"/>
      <c r="P38" s="27" t="n"/>
      <c r="Q38" s="28" t="n"/>
      <c r="T38" s="26" t="n"/>
      <c r="U38" s="26" t="n"/>
      <c r="V38" s="26" t="n"/>
    </row>
    <row r="39" ht="15.75" customHeight="1" s="76" thickBot="1">
      <c r="A39" s="3" t="n">
        <v>44386</v>
      </c>
      <c r="B39" s="1" t="inlineStr">
        <is>
          <t>USD</t>
        </is>
      </c>
      <c r="C39" s="2" t="n">
        <v>0.11</v>
      </c>
      <c r="D39" s="2" t="n">
        <v>0</v>
      </c>
      <c r="E39" s="4" t="n">
        <v>0.11</v>
      </c>
      <c r="F39" s="21" t="n"/>
      <c r="G39" s="3" t="n">
        <v>44386</v>
      </c>
      <c r="H39" s="1" t="inlineStr">
        <is>
          <t>USD</t>
        </is>
      </c>
      <c r="I39" s="2" t="n">
        <v>0.11</v>
      </c>
      <c r="J39" s="2" t="n">
        <v>0</v>
      </c>
      <c r="K39" s="4" t="n">
        <v>0.11</v>
      </c>
      <c r="M39" s="3" t="n">
        <v>44386</v>
      </c>
      <c r="N39" s="1" t="inlineStr">
        <is>
          <t>USD</t>
        </is>
      </c>
      <c r="O39" s="2" t="n">
        <v>0.11</v>
      </c>
      <c r="P39" s="2" t="n">
        <v>0</v>
      </c>
      <c r="Q39" s="4" t="n">
        <v>0.11</v>
      </c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4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4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4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4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4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4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4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4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4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4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4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4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4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4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4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4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4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4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4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4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4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4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4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4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4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4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4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4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4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4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4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4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4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4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4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4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4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4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4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4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4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4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4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4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4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4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2.xml><?xml version="1.0" encoding="utf-8"?>
<worksheet xmlns="http://schemas.openxmlformats.org/spreadsheetml/2006/main">
  <sheetPr codeName="Hoja1">
    <outlinePr summaryBelow="1" summaryRight="1"/>
    <pageSetUpPr/>
  </sheetPr>
  <dimension ref="A1:Y115"/>
  <sheetViews>
    <sheetView topLeftCell="A22" workbookViewId="0">
      <selection activeCell="E40" sqref="E40"/>
    </sheetView>
  </sheetViews>
  <sheetFormatPr baseColWidth="10" defaultRowHeight="15"/>
  <cols>
    <col width="22.140625" bestFit="1" customWidth="1" style="76" min="1" max="1"/>
    <col width="10.7109375" bestFit="1" customWidth="1" style="76" min="2" max="2"/>
    <col width="22.140625" bestFit="1" customWidth="1" style="76" min="7" max="7"/>
    <col width="11.85546875" bestFit="1" customWidth="1" style="76" min="8" max="8"/>
    <col width="22.140625" bestFit="1" customWidth="1" style="76" min="13" max="13"/>
    <col width="11.85546875" bestFit="1" customWidth="1" style="76" min="14" max="14"/>
    <col width="11.42578125" customWidth="1" style="76" min="15" max="17"/>
    <col width="22.140625" bestFit="1" customWidth="1" style="76" min="19" max="19"/>
    <col width="11.42578125" customWidth="1" style="76" min="21" max="23"/>
  </cols>
  <sheetData>
    <row r="1" ht="15.75" customHeight="1" s="76" thickBot="1">
      <c r="A1" t="inlineStr">
        <is>
          <t>DÓLAR</t>
        </is>
      </c>
      <c r="B1" s="26" t="n">
        <v>145</v>
      </c>
    </row>
    <row r="2" ht="19.5" customHeight="1" s="76" thickBot="1">
      <c r="A2" s="20" t="inlineStr">
        <is>
          <t>AL29</t>
        </is>
      </c>
      <c r="B2" s="16" t="n"/>
      <c r="C2" s="17" t="inlineStr">
        <is>
          <t>Renta</t>
        </is>
      </c>
      <c r="D2" s="17" t="inlineStr">
        <is>
          <t>Amort</t>
        </is>
      </c>
      <c r="E2" s="18" t="inlineStr">
        <is>
          <t>R+A</t>
        </is>
      </c>
      <c r="F2" s="21" t="n"/>
      <c r="G2" s="15" t="inlineStr">
        <is>
          <t>GD29</t>
        </is>
      </c>
      <c r="H2" s="16" t="n"/>
      <c r="I2" s="17" t="inlineStr">
        <is>
          <t>Renta</t>
        </is>
      </c>
      <c r="J2" s="17" t="inlineStr">
        <is>
          <t>Amort</t>
        </is>
      </c>
      <c r="K2" s="18" t="inlineStr">
        <is>
          <t>R+A</t>
        </is>
      </c>
      <c r="L2" s="21" t="n"/>
      <c r="M2" s="15" t="inlineStr">
        <is>
          <t>AL30</t>
        </is>
      </c>
      <c r="N2" s="19" t="n"/>
      <c r="O2" s="17" t="inlineStr">
        <is>
          <t>Renta</t>
        </is>
      </c>
      <c r="P2" s="17" t="inlineStr">
        <is>
          <t>Amort</t>
        </is>
      </c>
      <c r="Q2" s="18" t="inlineStr">
        <is>
          <t>R+A</t>
        </is>
      </c>
      <c r="S2" s="15" t="inlineStr">
        <is>
          <t>GD30</t>
        </is>
      </c>
      <c r="T2" s="19" t="n"/>
      <c r="U2" s="17" t="inlineStr">
        <is>
          <t>Renta</t>
        </is>
      </c>
      <c r="V2" s="17" t="inlineStr">
        <is>
          <t>Amort</t>
        </is>
      </c>
      <c r="W2" s="18" t="inlineStr">
        <is>
          <t>R+A</t>
        </is>
      </c>
      <c r="Y2" s="24" t="n"/>
    </row>
    <row r="3" ht="18.75" customHeight="1" s="76">
      <c r="A3" s="31" t="inlineStr">
        <is>
          <t>TASA</t>
        </is>
      </c>
      <c r="B3" s="21" t="n">
        <v>1</v>
      </c>
      <c r="C3" s="27" t="n"/>
      <c r="D3" s="27" t="n"/>
      <c r="E3" s="28" t="n"/>
      <c r="F3" s="21" t="n"/>
      <c r="G3" s="29" t="inlineStr">
        <is>
          <t>TASA</t>
        </is>
      </c>
      <c r="H3" s="21" t="n"/>
      <c r="I3" s="27" t="n"/>
      <c r="J3" s="27" t="n"/>
      <c r="K3" s="28" t="n"/>
      <c r="L3" s="21" t="n"/>
      <c r="M3" s="29" t="n"/>
      <c r="O3" s="27" t="n"/>
      <c r="P3" s="27" t="n"/>
      <c r="Q3" s="28" t="n"/>
      <c r="S3" s="29" t="n"/>
      <c r="U3" s="27" t="n"/>
      <c r="V3" s="27" t="n"/>
      <c r="W3" s="28" t="n"/>
    </row>
    <row r="4" ht="18.75" customHeight="1" s="76">
      <c r="A4" s="31" t="inlineStr">
        <is>
          <t>Fecha inicio</t>
        </is>
      </c>
      <c r="B4" s="24" t="n">
        <v>44076</v>
      </c>
      <c r="C4" s="27" t="n"/>
      <c r="D4" s="27" t="n"/>
      <c r="E4" s="28" t="n"/>
      <c r="F4" s="21">
        <f>A10-B5</f>
        <v/>
      </c>
      <c r="G4" s="31" t="inlineStr">
        <is>
          <t>Fecha inicio</t>
        </is>
      </c>
      <c r="H4" s="24" t="n">
        <v>44076</v>
      </c>
      <c r="I4" s="27" t="n"/>
      <c r="J4" s="27" t="n"/>
      <c r="K4" s="28" t="n"/>
      <c r="L4" s="21" t="n"/>
      <c r="M4" s="31" t="inlineStr">
        <is>
          <t>Fecha inicio</t>
        </is>
      </c>
      <c r="N4" s="24" t="n">
        <v>44076</v>
      </c>
      <c r="O4" s="27" t="n"/>
      <c r="P4" s="27" t="n"/>
      <c r="Q4" s="28" t="n"/>
      <c r="S4" s="31" t="inlineStr">
        <is>
          <t>Fecha inicio</t>
        </is>
      </c>
      <c r="T4" s="24" t="n">
        <v>44076</v>
      </c>
      <c r="U4" s="27" t="n"/>
      <c r="V4" s="27" t="n"/>
      <c r="W4" s="28" t="n"/>
    </row>
    <row r="5" ht="18.75" customHeight="1" s="76">
      <c r="A5" s="31" t="inlineStr">
        <is>
          <t>Fecha ultimo pago</t>
        </is>
      </c>
      <c r="B5" s="24" t="n">
        <v>44386</v>
      </c>
      <c r="C5" s="27" t="n"/>
      <c r="D5" s="26">
        <f>DAYS360(B5,A10)</f>
        <v/>
      </c>
      <c r="E5" s="28" t="n"/>
      <c r="G5" s="31" t="inlineStr">
        <is>
          <t>Fecha ultimo pago</t>
        </is>
      </c>
      <c r="H5" s="24" t="n">
        <v>44386</v>
      </c>
      <c r="I5" s="27" t="n"/>
      <c r="J5" s="27" t="n"/>
      <c r="K5" s="28" t="n"/>
      <c r="L5" s="21" t="n"/>
      <c r="M5" s="31" t="inlineStr">
        <is>
          <t>Fecha ultimo pago</t>
        </is>
      </c>
      <c r="N5" s="24" t="n">
        <v>44386</v>
      </c>
      <c r="O5" s="27" t="n"/>
      <c r="P5" s="27" t="n"/>
      <c r="Q5" s="28" t="n"/>
      <c r="S5" s="31" t="inlineStr">
        <is>
          <t>Fecha ultimo pago</t>
        </is>
      </c>
      <c r="T5" s="24" t="n">
        <v>44076</v>
      </c>
      <c r="U5" s="27" t="n"/>
      <c r="V5" s="27" t="n"/>
      <c r="W5" s="28" t="n"/>
    </row>
    <row r="6" ht="18.75" customHeight="1" s="76">
      <c r="A6" s="31" t="inlineStr">
        <is>
          <t>Interes</t>
        </is>
      </c>
      <c r="B6" s="25" t="n">
        <v>0.01</v>
      </c>
      <c r="C6" s="27" t="n"/>
      <c r="D6" s="27" t="n"/>
      <c r="E6" s="28" t="n"/>
      <c r="F6" s="21">
        <f>DAYS360(B5,A10)</f>
        <v/>
      </c>
      <c r="G6" s="31" t="inlineStr">
        <is>
          <t>Interes</t>
        </is>
      </c>
      <c r="H6" s="25" t="n">
        <v>0.01</v>
      </c>
      <c r="I6" s="27" t="n"/>
      <c r="J6" s="27" t="n"/>
      <c r="K6" s="28" t="n"/>
      <c r="L6" s="21" t="n"/>
      <c r="M6" s="31" t="inlineStr">
        <is>
          <t>Interes</t>
        </is>
      </c>
      <c r="N6" s="32" t="n">
        <v>0.00125</v>
      </c>
      <c r="O6" s="27" t="n"/>
      <c r="P6" s="27" t="n"/>
      <c r="Q6" s="28" t="n"/>
      <c r="S6" s="31" t="inlineStr">
        <is>
          <t>Interes</t>
        </is>
      </c>
      <c r="T6" s="32" t="n">
        <v>0.00125</v>
      </c>
      <c r="U6" s="27" t="n"/>
      <c r="V6" s="27" t="n"/>
      <c r="W6" s="28" t="n"/>
      <c r="Y6" s="45" t="n"/>
    </row>
    <row r="7" ht="18.75" customHeight="1" s="76">
      <c r="A7" s="30" t="inlineStr">
        <is>
          <t>VR</t>
        </is>
      </c>
      <c r="B7" s="21" t="n">
        <v>100</v>
      </c>
      <c r="C7" s="27" t="n"/>
      <c r="D7" s="27" t="n"/>
      <c r="E7" s="28" t="n"/>
      <c r="F7" s="21" t="n"/>
      <c r="G7" s="31" t="inlineStr">
        <is>
          <t>VR</t>
        </is>
      </c>
      <c r="H7" s="21" t="n">
        <v>100</v>
      </c>
      <c r="I7" s="27" t="n"/>
      <c r="J7" s="27" t="n"/>
      <c r="K7" s="28" t="n"/>
      <c r="L7" s="21" t="n"/>
      <c r="M7" s="31" t="inlineStr">
        <is>
          <t>VR</t>
        </is>
      </c>
      <c r="N7" s="21" t="n">
        <v>100</v>
      </c>
      <c r="O7" s="27" t="n"/>
      <c r="P7" s="48" t="n"/>
      <c r="Q7" s="28" t="n"/>
      <c r="S7" s="31" t="inlineStr">
        <is>
          <t>VR</t>
        </is>
      </c>
      <c r="T7" s="21" t="n">
        <v>100</v>
      </c>
      <c r="U7" s="27" t="n"/>
      <c r="V7" s="27" t="n"/>
      <c r="W7" s="28" t="n"/>
    </row>
    <row r="8" ht="18.75" customHeight="1" s="76">
      <c r="A8" s="30" t="inlineStr">
        <is>
          <t>Int Corrido</t>
        </is>
      </c>
      <c r="B8" s="46">
        <f>B6*DAYS360(B5,TODAY())/360*100</f>
        <v/>
      </c>
      <c r="C8" s="27" t="n"/>
      <c r="D8" s="48" t="n"/>
      <c r="E8" s="28" t="n"/>
      <c r="F8" s="47" t="n"/>
      <c r="G8" s="31" t="inlineStr">
        <is>
          <t>Int Corrido</t>
        </is>
      </c>
      <c r="H8" s="46">
        <f>H6*DAYS360(H5,TODAY())/360*100</f>
        <v/>
      </c>
      <c r="I8" s="27" t="n"/>
      <c r="J8" s="27" t="n"/>
      <c r="K8" s="28" t="n"/>
      <c r="L8" s="21" t="n"/>
      <c r="M8" s="31" t="inlineStr">
        <is>
          <t>Int Corrido</t>
        </is>
      </c>
      <c r="N8" s="46">
        <f>N6*DAYS360(N5,TODAY())/360*100</f>
        <v/>
      </c>
      <c r="O8" s="27" t="n"/>
      <c r="P8" s="27" t="n"/>
      <c r="Q8" s="28" t="n"/>
      <c r="S8" s="31" t="inlineStr">
        <is>
          <t>Int Corrido</t>
        </is>
      </c>
      <c r="T8" s="46">
        <f>T6*DAYS360(T5,TODAY())/360*100</f>
        <v/>
      </c>
      <c r="U8" s="27" t="n"/>
      <c r="V8" s="27" t="n"/>
      <c r="W8" s="28" t="n"/>
    </row>
    <row r="9" ht="19.5" customHeight="1" s="76" thickBot="1">
      <c r="A9" s="30" t="inlineStr">
        <is>
          <t>Valor Tecnico</t>
        </is>
      </c>
      <c r="B9" s="46">
        <f>B7+B8</f>
        <v/>
      </c>
      <c r="C9" s="27" t="n"/>
      <c r="D9" s="27" t="n"/>
      <c r="E9" s="41">
        <f>-'Paridad usd'!B39</f>
        <v/>
      </c>
      <c r="F9" s="21" t="n"/>
      <c r="G9" s="31" t="inlineStr">
        <is>
          <t>Valor Tecnico</t>
        </is>
      </c>
      <c r="H9" s="46">
        <f>H7+H8</f>
        <v/>
      </c>
      <c r="I9" s="27" t="n"/>
      <c r="J9" s="27" t="n"/>
      <c r="K9" s="50">
        <f>-'Paridad usd'!D39</f>
        <v/>
      </c>
      <c r="L9" s="21" t="n"/>
      <c r="M9" s="31" t="inlineStr">
        <is>
          <t>Valor Tecnico</t>
        </is>
      </c>
      <c r="N9" s="46">
        <f>N7+N8</f>
        <v/>
      </c>
      <c r="O9" s="27" t="n"/>
      <c r="P9" s="27" t="n"/>
      <c r="Q9" s="50">
        <f>-'Paridad usd'!F39</f>
        <v/>
      </c>
      <c r="S9" s="31" t="inlineStr">
        <is>
          <t>Valor Tecnico</t>
        </is>
      </c>
      <c r="T9" s="46">
        <f>T7+T8</f>
        <v/>
      </c>
      <c r="U9" s="27" t="n"/>
      <c r="V9" s="27" t="n"/>
      <c r="W9" s="28" t="n"/>
    </row>
    <row r="10" ht="15.75" customHeight="1" s="76" thickBot="1">
      <c r="A10" s="11" t="n"/>
      <c r="B10" s="12" t="n"/>
      <c r="C10" s="38" t="n"/>
      <c r="D10" s="13" t="n"/>
      <c r="E10" s="2" t="n"/>
      <c r="F10" s="21" t="n"/>
      <c r="G10" s="11" t="n"/>
      <c r="I10" s="13" t="n"/>
      <c r="J10" s="13" t="n"/>
      <c r="K10" s="14" t="n"/>
      <c r="L10" s="21" t="n"/>
      <c r="M10" s="11" t="n"/>
      <c r="O10" s="13" t="n"/>
      <c r="P10" s="13" t="n"/>
      <c r="Q10" s="14" t="n"/>
      <c r="S10" s="11" t="n">
        <v>44386</v>
      </c>
      <c r="T10" t="inlineStr">
        <is>
          <t>USD</t>
        </is>
      </c>
      <c r="U10" s="13" t="n">
        <v>0.11</v>
      </c>
      <c r="V10" s="13" t="n">
        <v>0</v>
      </c>
      <c r="W10" s="14" t="n">
        <v>0.11</v>
      </c>
    </row>
    <row r="11" ht="15.75" customHeight="1" s="76" thickBot="1">
      <c r="A11" s="3" t="n">
        <v>44570</v>
      </c>
      <c r="B11" s="1" t="inlineStr">
        <is>
          <t>USD</t>
        </is>
      </c>
      <c r="C11" s="39" t="n">
        <v>0.5</v>
      </c>
      <c r="D11" s="2" t="n">
        <v>0</v>
      </c>
      <c r="E11" s="49" t="n">
        <v>0.5</v>
      </c>
      <c r="F11" s="21" t="n"/>
      <c r="G11" s="3" t="n">
        <v>44570</v>
      </c>
      <c r="H11" t="inlineStr">
        <is>
          <t>USD</t>
        </is>
      </c>
      <c r="I11" s="2" t="n">
        <v>0.5</v>
      </c>
      <c r="J11" s="2" t="n">
        <v>0</v>
      </c>
      <c r="K11" s="4" t="n">
        <v>0.5</v>
      </c>
      <c r="L11" s="21" t="n"/>
      <c r="M11" s="3" t="n">
        <v>44570</v>
      </c>
      <c r="N11" t="inlineStr">
        <is>
          <t>USD</t>
        </is>
      </c>
      <c r="O11" s="2" t="n">
        <v>0.25</v>
      </c>
      <c r="P11" s="2" t="n">
        <v>0</v>
      </c>
      <c r="Q11" s="51" t="n">
        <v>0.25</v>
      </c>
      <c r="S11" s="3" t="n">
        <v>44570</v>
      </c>
      <c r="T11" t="inlineStr">
        <is>
          <t>USD</t>
        </is>
      </c>
      <c r="U11" s="2" t="n">
        <v>0.25</v>
      </c>
      <c r="V11" s="2" t="n">
        <v>0</v>
      </c>
      <c r="W11" s="4" t="n">
        <v>0.25</v>
      </c>
    </row>
    <row r="12" ht="15.75" customHeight="1" s="76" thickBot="1">
      <c r="A12" s="3" t="n">
        <v>44751</v>
      </c>
      <c r="B12" s="1" t="inlineStr">
        <is>
          <t>USD</t>
        </is>
      </c>
      <c r="C12" s="39" t="n">
        <v>0.5</v>
      </c>
      <c r="D12" s="2" t="n">
        <v>0</v>
      </c>
      <c r="E12" s="49" t="n">
        <v>0.5</v>
      </c>
      <c r="F12" s="21" t="n"/>
      <c r="G12" s="3" t="n">
        <v>44751</v>
      </c>
      <c r="H12" t="inlineStr">
        <is>
          <t>USD</t>
        </is>
      </c>
      <c r="I12" s="2" t="n">
        <v>0.5</v>
      </c>
      <c r="J12" s="2" t="n">
        <v>0</v>
      </c>
      <c r="K12" s="4" t="n">
        <v>0.5</v>
      </c>
      <c r="L12" s="21" t="n"/>
      <c r="M12" s="3" t="n">
        <v>44751</v>
      </c>
      <c r="N12" t="inlineStr">
        <is>
          <t>USD</t>
        </is>
      </c>
      <c r="O12" s="2" t="n">
        <v>0.25</v>
      </c>
      <c r="P12" s="2" t="n">
        <v>0</v>
      </c>
      <c r="Q12" s="51" t="n">
        <v>0.25</v>
      </c>
      <c r="S12" s="3" t="n">
        <v>44751</v>
      </c>
      <c r="T12" t="inlineStr">
        <is>
          <t>USD</t>
        </is>
      </c>
      <c r="U12" s="2" t="n">
        <v>0.25</v>
      </c>
      <c r="V12" s="2" t="n">
        <v>0</v>
      </c>
      <c r="W12" s="4" t="n">
        <v>0.25</v>
      </c>
    </row>
    <row r="13" ht="15.75" customHeight="1" s="76" thickBot="1">
      <c r="A13" s="3" t="n">
        <v>44935</v>
      </c>
      <c r="B13" s="1" t="inlineStr">
        <is>
          <t>USD</t>
        </is>
      </c>
      <c r="C13" s="39" t="n">
        <v>0.5</v>
      </c>
      <c r="D13" s="2" t="n">
        <v>0</v>
      </c>
      <c r="E13" s="49" t="n">
        <v>0.5</v>
      </c>
      <c r="F13" s="21" t="n"/>
      <c r="G13" s="3" t="n">
        <v>44935</v>
      </c>
      <c r="H13" t="inlineStr">
        <is>
          <t>USD</t>
        </is>
      </c>
      <c r="I13" s="2" t="n">
        <v>0.5</v>
      </c>
      <c r="J13" s="2" t="n">
        <v>0</v>
      </c>
      <c r="K13" s="4" t="n">
        <v>0.5</v>
      </c>
      <c r="L13" s="21" t="n"/>
      <c r="M13" s="3" t="n">
        <v>44935</v>
      </c>
      <c r="N13" t="inlineStr">
        <is>
          <t>USD</t>
        </is>
      </c>
      <c r="O13" s="2" t="n">
        <v>0.25</v>
      </c>
      <c r="P13" s="2" t="n">
        <v>0</v>
      </c>
      <c r="Q13" s="51" t="n">
        <v>0.25</v>
      </c>
      <c r="S13" s="3" t="n">
        <v>44935</v>
      </c>
      <c r="T13" t="inlineStr">
        <is>
          <t>USD</t>
        </is>
      </c>
      <c r="U13" s="2" t="n">
        <v>0.25</v>
      </c>
      <c r="V13" s="2" t="n">
        <v>0</v>
      </c>
      <c r="W13" s="4" t="n">
        <v>0.25</v>
      </c>
    </row>
    <row r="14" ht="15.75" customHeight="1" s="76" thickBot="1">
      <c r="A14" s="3" t="n">
        <v>45116</v>
      </c>
      <c r="B14" s="1" t="inlineStr">
        <is>
          <t>USD</t>
        </is>
      </c>
      <c r="C14" s="39" t="n">
        <v>0.5</v>
      </c>
      <c r="D14" s="2" t="n">
        <v>0</v>
      </c>
      <c r="E14" s="49" t="n">
        <v>0.5</v>
      </c>
      <c r="F14" s="21" t="n"/>
      <c r="G14" s="3" t="n">
        <v>45116</v>
      </c>
      <c r="H14" t="inlineStr">
        <is>
          <t>USD</t>
        </is>
      </c>
      <c r="I14" s="2" t="n">
        <v>0.5</v>
      </c>
      <c r="J14" s="2" t="n">
        <v>0</v>
      </c>
      <c r="K14" s="4" t="n">
        <v>0.5</v>
      </c>
      <c r="L14" s="21" t="n"/>
      <c r="M14" s="3" t="n">
        <v>45116</v>
      </c>
      <c r="N14" t="inlineStr">
        <is>
          <t>USD</t>
        </is>
      </c>
      <c r="O14" s="2" t="n">
        <v>0.25</v>
      </c>
      <c r="P14" s="2" t="n">
        <v>0</v>
      </c>
      <c r="Q14" s="51" t="n">
        <v>0.25</v>
      </c>
      <c r="S14" s="3" t="n">
        <v>45116</v>
      </c>
      <c r="T14" t="inlineStr">
        <is>
          <t>USD</t>
        </is>
      </c>
      <c r="U14" s="2" t="n">
        <v>0.25</v>
      </c>
      <c r="V14" s="2" t="n">
        <v>0</v>
      </c>
      <c r="W14" s="4" t="n">
        <v>0.25</v>
      </c>
    </row>
    <row r="15" ht="15.75" customHeight="1" s="76" thickBot="1">
      <c r="A15" s="3" t="n">
        <v>45300</v>
      </c>
      <c r="B15" s="1" t="inlineStr">
        <is>
          <t>USD</t>
        </is>
      </c>
      <c r="C15" s="39" t="n">
        <v>0.5</v>
      </c>
      <c r="D15" s="2" t="n">
        <v>0</v>
      </c>
      <c r="E15" s="49" t="n">
        <v>0.5</v>
      </c>
      <c r="F15" s="21" t="n"/>
      <c r="G15" s="3" t="n">
        <v>45300</v>
      </c>
      <c r="H15" t="inlineStr">
        <is>
          <t>USD</t>
        </is>
      </c>
      <c r="I15" s="2" t="n">
        <v>0.5</v>
      </c>
      <c r="J15" s="2" t="n">
        <v>0</v>
      </c>
      <c r="K15" s="4" t="n">
        <v>0.5</v>
      </c>
      <c r="L15" s="21" t="n"/>
      <c r="M15" s="3" t="n">
        <v>45300</v>
      </c>
      <c r="N15" t="inlineStr">
        <is>
          <t>USD</t>
        </is>
      </c>
      <c r="O15" s="2" t="n">
        <v>0.38</v>
      </c>
      <c r="P15" s="2" t="n">
        <v>0</v>
      </c>
      <c r="Q15" s="51" t="n">
        <v>0.38</v>
      </c>
      <c r="S15" s="3" t="n">
        <v>45300</v>
      </c>
      <c r="T15" t="inlineStr">
        <is>
          <t>USD</t>
        </is>
      </c>
      <c r="U15" s="2" t="n">
        <v>0.38</v>
      </c>
      <c r="V15" s="2" t="n">
        <v>0</v>
      </c>
      <c r="W15" s="4" t="n">
        <v>0.38</v>
      </c>
    </row>
    <row r="16" ht="15.75" customHeight="1" s="76" thickBot="1">
      <c r="A16" s="3" t="n">
        <v>45482</v>
      </c>
      <c r="B16" s="1" t="inlineStr">
        <is>
          <t>USD</t>
        </is>
      </c>
      <c r="C16" s="39" t="n">
        <v>0.5</v>
      </c>
      <c r="D16" s="2" t="n">
        <v>0</v>
      </c>
      <c r="E16" s="49" t="n">
        <v>0.5</v>
      </c>
      <c r="F16" s="21" t="n"/>
      <c r="G16" s="3" t="n">
        <v>45482</v>
      </c>
      <c r="H16" t="inlineStr">
        <is>
          <t>USD</t>
        </is>
      </c>
      <c r="I16" s="2" t="n">
        <v>0.5</v>
      </c>
      <c r="J16" s="2" t="n">
        <v>0</v>
      </c>
      <c r="K16" s="4" t="n">
        <v>0.5</v>
      </c>
      <c r="L16" s="21" t="n"/>
      <c r="M16" s="3" t="n">
        <v>45482</v>
      </c>
      <c r="N16" t="inlineStr">
        <is>
          <t>USD</t>
        </is>
      </c>
      <c r="O16" s="2" t="n">
        <v>0.38</v>
      </c>
      <c r="P16" s="2" t="n">
        <v>4</v>
      </c>
      <c r="Q16" s="51" t="n">
        <v>4.38</v>
      </c>
      <c r="S16" s="3" t="n">
        <v>45482</v>
      </c>
      <c r="T16" t="inlineStr">
        <is>
          <t>USD</t>
        </is>
      </c>
      <c r="U16" s="2" t="n">
        <v>0.38</v>
      </c>
      <c r="V16" s="2" t="n">
        <v>4</v>
      </c>
      <c r="W16" s="4" t="n">
        <v>4.38</v>
      </c>
    </row>
    <row r="17" ht="15.75" customHeight="1" s="76" thickBot="1">
      <c r="A17" s="3" t="n">
        <v>45666</v>
      </c>
      <c r="B17" s="1" t="inlineStr">
        <is>
          <t>USD</t>
        </is>
      </c>
      <c r="C17" s="39" t="n">
        <v>0.5</v>
      </c>
      <c r="D17" s="2" t="n">
        <v>10</v>
      </c>
      <c r="E17" s="49" t="n">
        <v>10.5</v>
      </c>
      <c r="F17" s="21" t="n"/>
      <c r="G17" s="3" t="n">
        <v>45666</v>
      </c>
      <c r="H17" t="inlineStr">
        <is>
          <t>USD</t>
        </is>
      </c>
      <c r="I17" s="2" t="n">
        <v>0.5</v>
      </c>
      <c r="J17" s="2" t="n">
        <v>10</v>
      </c>
      <c r="K17" s="4" t="n">
        <v>10.5</v>
      </c>
      <c r="L17" s="21" t="n"/>
      <c r="M17" s="3" t="n">
        <v>45666</v>
      </c>
      <c r="N17" t="inlineStr">
        <is>
          <t>USD</t>
        </is>
      </c>
      <c r="O17" s="2" t="n">
        <v>0.36</v>
      </c>
      <c r="P17" s="2" t="n">
        <v>8</v>
      </c>
      <c r="Q17" s="51" t="n">
        <v>8.359999999999999</v>
      </c>
      <c r="S17" s="3" t="n">
        <v>45666</v>
      </c>
      <c r="T17" t="inlineStr">
        <is>
          <t>USD</t>
        </is>
      </c>
      <c r="U17" s="2" t="n">
        <v>0.36</v>
      </c>
      <c r="V17" s="2" t="n">
        <v>8</v>
      </c>
      <c r="W17" s="4" t="n">
        <v>8.359999999999999</v>
      </c>
    </row>
    <row r="18" ht="15.75" customHeight="1" s="76" thickBot="1">
      <c r="A18" s="3" t="n">
        <v>45847</v>
      </c>
      <c r="B18" s="1" t="inlineStr">
        <is>
          <t>USD</t>
        </is>
      </c>
      <c r="C18" s="39" t="n">
        <v>0.45</v>
      </c>
      <c r="D18" s="2" t="n">
        <v>10</v>
      </c>
      <c r="E18" s="49" t="n">
        <v>10.45</v>
      </c>
      <c r="F18" s="21" t="n"/>
      <c r="G18" s="3" t="n">
        <v>45847</v>
      </c>
      <c r="H18" t="inlineStr">
        <is>
          <t>USD</t>
        </is>
      </c>
      <c r="I18" s="2" t="n">
        <v>0.45</v>
      </c>
      <c r="J18" s="2" t="n">
        <v>10</v>
      </c>
      <c r="K18" s="4" t="n">
        <v>10.45</v>
      </c>
      <c r="L18" s="21" t="n"/>
      <c r="M18" s="3" t="n">
        <v>45847</v>
      </c>
      <c r="N18" t="inlineStr">
        <is>
          <t>USD</t>
        </is>
      </c>
      <c r="O18" s="2" t="n">
        <v>0.33</v>
      </c>
      <c r="P18" s="2" t="n">
        <v>8</v>
      </c>
      <c r="Q18" s="51" t="n">
        <v>8.33</v>
      </c>
      <c r="S18" s="3" t="n">
        <v>45847</v>
      </c>
      <c r="T18" t="inlineStr">
        <is>
          <t>USD</t>
        </is>
      </c>
      <c r="U18" s="2" t="n">
        <v>0.33</v>
      </c>
      <c r="V18" s="2" t="n">
        <v>8</v>
      </c>
      <c r="W18" s="4" t="n">
        <v>8.33</v>
      </c>
    </row>
    <row r="19" ht="15.75" customHeight="1" s="76" thickBot="1">
      <c r="A19" s="3" t="n">
        <v>46031</v>
      </c>
      <c r="B19" s="1" t="inlineStr">
        <is>
          <t>USD</t>
        </is>
      </c>
      <c r="C19" s="39" t="n">
        <v>0.4</v>
      </c>
      <c r="D19" s="2" t="n">
        <v>10</v>
      </c>
      <c r="E19" s="49" t="n">
        <v>10.4</v>
      </c>
      <c r="F19" s="21" t="n"/>
      <c r="G19" s="3" t="n">
        <v>46031</v>
      </c>
      <c r="H19" t="inlineStr">
        <is>
          <t>USD</t>
        </is>
      </c>
      <c r="I19" s="2" t="n">
        <v>0.4</v>
      </c>
      <c r="J19" s="2" t="n">
        <v>10</v>
      </c>
      <c r="K19" s="4" t="n">
        <v>10.4</v>
      </c>
      <c r="L19" s="21" t="n"/>
      <c r="M19" s="3" t="n">
        <v>46031</v>
      </c>
      <c r="N19" t="inlineStr">
        <is>
          <t>USD</t>
        </is>
      </c>
      <c r="O19" s="2" t="n">
        <v>0.3</v>
      </c>
      <c r="P19" s="2" t="n">
        <v>8</v>
      </c>
      <c r="Q19" s="51" t="n">
        <v>8.300000000000001</v>
      </c>
      <c r="S19" s="3" t="n">
        <v>46031</v>
      </c>
      <c r="T19" t="inlineStr">
        <is>
          <t>USD</t>
        </is>
      </c>
      <c r="U19" s="2" t="n">
        <v>0.3</v>
      </c>
      <c r="V19" s="2" t="n">
        <v>8</v>
      </c>
      <c r="W19" s="4" t="n">
        <v>8.300000000000001</v>
      </c>
    </row>
    <row r="20" ht="15.75" customHeight="1" s="76" thickBot="1">
      <c r="A20" s="3" t="n">
        <v>46212</v>
      </c>
      <c r="B20" s="1" t="inlineStr">
        <is>
          <t>USD</t>
        </is>
      </c>
      <c r="C20" s="39" t="n">
        <v>0.35</v>
      </c>
      <c r="D20" s="2" t="n">
        <v>10</v>
      </c>
      <c r="E20" s="49" t="n">
        <v>10.35</v>
      </c>
      <c r="F20" s="21" t="n"/>
      <c r="G20" s="3" t="n">
        <v>46212</v>
      </c>
      <c r="H20" t="inlineStr">
        <is>
          <t>USD</t>
        </is>
      </c>
      <c r="I20" s="2" t="n">
        <v>0.35</v>
      </c>
      <c r="J20" s="2" t="n">
        <v>10</v>
      </c>
      <c r="K20" s="4" t="n">
        <v>10.35</v>
      </c>
      <c r="L20" s="21" t="n"/>
      <c r="M20" s="3" t="n">
        <v>46212</v>
      </c>
      <c r="N20" t="inlineStr">
        <is>
          <t>USD</t>
        </is>
      </c>
      <c r="O20" s="2" t="n">
        <v>0.27</v>
      </c>
      <c r="P20" s="2" t="n">
        <v>8</v>
      </c>
      <c r="Q20" s="51" t="n">
        <v>8.27</v>
      </c>
      <c r="S20" s="3" t="n">
        <v>46212</v>
      </c>
      <c r="T20" t="inlineStr">
        <is>
          <t>USD</t>
        </is>
      </c>
      <c r="U20" s="2" t="n">
        <v>0.27</v>
      </c>
      <c r="V20" s="2" t="n">
        <v>8</v>
      </c>
      <c r="W20" s="4" t="n">
        <v>8.27</v>
      </c>
    </row>
    <row r="21" ht="15.75" customHeight="1" s="76" thickBot="1">
      <c r="A21" s="3" t="n">
        <v>46396</v>
      </c>
      <c r="B21" s="1" t="inlineStr">
        <is>
          <t>USD</t>
        </is>
      </c>
      <c r="C21" s="39" t="n">
        <v>0.3</v>
      </c>
      <c r="D21" s="2" t="n">
        <v>10</v>
      </c>
      <c r="E21" s="42" t="n">
        <v>10.3</v>
      </c>
      <c r="F21" s="21" t="n"/>
      <c r="G21" s="3" t="n">
        <v>46396</v>
      </c>
      <c r="H21" t="inlineStr">
        <is>
          <t>USD</t>
        </is>
      </c>
      <c r="I21" s="2" t="n">
        <v>0.3</v>
      </c>
      <c r="J21" s="2" t="n">
        <v>10</v>
      </c>
      <c r="K21" s="4" t="n">
        <v>10.3</v>
      </c>
      <c r="L21" s="21" t="n"/>
      <c r="M21" s="3" t="n">
        <v>46396</v>
      </c>
      <c r="N21" t="inlineStr">
        <is>
          <t>USD</t>
        </is>
      </c>
      <c r="O21" s="2" t="n">
        <v>0.24</v>
      </c>
      <c r="P21" s="2" t="n">
        <v>8</v>
      </c>
      <c r="Q21" s="4" t="n">
        <v>8.24</v>
      </c>
      <c r="S21" s="3" t="n">
        <v>46396</v>
      </c>
      <c r="T21" t="inlineStr">
        <is>
          <t>USD</t>
        </is>
      </c>
      <c r="U21" s="2" t="n">
        <v>0.24</v>
      </c>
      <c r="V21" s="2" t="n">
        <v>8</v>
      </c>
      <c r="W21" s="4" t="n">
        <v>8.24</v>
      </c>
    </row>
    <row r="22" ht="15.75" customHeight="1" s="76" thickBot="1">
      <c r="A22" s="3" t="n">
        <v>46577</v>
      </c>
      <c r="B22" s="1" t="inlineStr">
        <is>
          <t>USD</t>
        </is>
      </c>
      <c r="C22" s="39" t="n">
        <v>0.25</v>
      </c>
      <c r="D22" s="2" t="n">
        <v>10</v>
      </c>
      <c r="E22" s="42" t="n">
        <v>10.25</v>
      </c>
      <c r="F22" s="21" t="n"/>
      <c r="G22" s="3" t="n">
        <v>46577</v>
      </c>
      <c r="H22" t="inlineStr">
        <is>
          <t>USD</t>
        </is>
      </c>
      <c r="I22" s="2" t="n">
        <v>0.25</v>
      </c>
      <c r="J22" s="2" t="n">
        <v>10</v>
      </c>
      <c r="K22" s="4" t="n">
        <v>10.25</v>
      </c>
      <c r="L22" s="21" t="n"/>
      <c r="M22" s="3" t="n">
        <v>46577</v>
      </c>
      <c r="N22" t="inlineStr">
        <is>
          <t>USD</t>
        </is>
      </c>
      <c r="O22" s="2" t="n">
        <v>0.21</v>
      </c>
      <c r="P22" s="2" t="n">
        <v>8</v>
      </c>
      <c r="Q22" s="4" t="n">
        <v>8.210000000000001</v>
      </c>
      <c r="S22" s="3" t="n">
        <v>46577</v>
      </c>
      <c r="T22" t="inlineStr">
        <is>
          <t>USD</t>
        </is>
      </c>
      <c r="U22" s="2" t="n">
        <v>0.21</v>
      </c>
      <c r="V22" s="2" t="n">
        <v>8</v>
      </c>
      <c r="W22" s="4" t="n">
        <v>8.210000000000001</v>
      </c>
    </row>
    <row r="23" ht="15.75" customHeight="1" s="76" thickBot="1">
      <c r="A23" s="3" t="n">
        <v>46761</v>
      </c>
      <c r="B23" s="1" t="inlineStr">
        <is>
          <t>USD</t>
        </is>
      </c>
      <c r="C23" s="39" t="n">
        <v>0.2</v>
      </c>
      <c r="D23" s="2" t="n">
        <v>10</v>
      </c>
      <c r="E23" s="42" t="n">
        <v>10.2</v>
      </c>
      <c r="F23" s="21" t="n"/>
      <c r="G23" s="3" t="n">
        <v>46761</v>
      </c>
      <c r="H23" t="inlineStr">
        <is>
          <t>USD</t>
        </is>
      </c>
      <c r="I23" s="2" t="n">
        <v>0.2</v>
      </c>
      <c r="J23" s="2" t="n">
        <v>10</v>
      </c>
      <c r="K23" s="4" t="n">
        <v>10.2</v>
      </c>
      <c r="L23" s="21" t="n"/>
      <c r="M23" s="3" t="n">
        <v>46761</v>
      </c>
      <c r="N23" t="inlineStr">
        <is>
          <t>USD</t>
        </is>
      </c>
      <c r="O23" s="2" t="n">
        <v>0.42</v>
      </c>
      <c r="P23" s="2" t="n">
        <v>8</v>
      </c>
      <c r="Q23" s="4" t="n">
        <v>8.42</v>
      </c>
      <c r="S23" s="3" t="n">
        <v>46761</v>
      </c>
      <c r="T23" t="inlineStr">
        <is>
          <t>USD</t>
        </is>
      </c>
      <c r="U23" s="2" t="n">
        <v>0.42</v>
      </c>
      <c r="V23" s="2" t="n">
        <v>8</v>
      </c>
      <c r="W23" s="4" t="n">
        <v>8.42</v>
      </c>
    </row>
    <row r="24" ht="15.75" customHeight="1" s="76" thickBot="1">
      <c r="A24" s="3" t="n">
        <v>46943</v>
      </c>
      <c r="B24" s="1" t="inlineStr">
        <is>
          <t>USD</t>
        </is>
      </c>
      <c r="C24" s="39" t="n">
        <v>0.15</v>
      </c>
      <c r="D24" s="2" t="n">
        <v>10</v>
      </c>
      <c r="E24" s="42" t="n">
        <v>10.15</v>
      </c>
      <c r="F24" s="21" t="n"/>
      <c r="G24" s="3" t="n">
        <v>46943</v>
      </c>
      <c r="H24" t="inlineStr">
        <is>
          <t>USD</t>
        </is>
      </c>
      <c r="I24" s="2" t="n">
        <v>0.15</v>
      </c>
      <c r="J24" s="2" t="n">
        <v>10</v>
      </c>
      <c r="K24" s="4" t="n">
        <v>10.15</v>
      </c>
      <c r="L24" s="21" t="n"/>
      <c r="M24" s="3" t="n">
        <v>46943</v>
      </c>
      <c r="N24" t="inlineStr">
        <is>
          <t>USD</t>
        </is>
      </c>
      <c r="O24" s="2" t="n">
        <v>0.35</v>
      </c>
      <c r="P24" s="2" t="n">
        <v>8</v>
      </c>
      <c r="Q24" s="4" t="n">
        <v>8.35</v>
      </c>
      <c r="S24" s="3" t="n">
        <v>46943</v>
      </c>
      <c r="T24" t="inlineStr">
        <is>
          <t>USD</t>
        </is>
      </c>
      <c r="U24" s="2" t="n">
        <v>0.35</v>
      </c>
      <c r="V24" s="2" t="n">
        <v>8</v>
      </c>
      <c r="W24" s="4" t="n">
        <v>8.35</v>
      </c>
    </row>
    <row r="25" ht="15.75" customHeight="1" s="76" thickBot="1">
      <c r="A25" s="3" t="n">
        <v>47127</v>
      </c>
      <c r="B25" s="1" t="inlineStr">
        <is>
          <t>USD</t>
        </is>
      </c>
      <c r="C25" s="39" t="n">
        <v>0.1</v>
      </c>
      <c r="D25" s="2" t="n">
        <v>10</v>
      </c>
      <c r="E25" s="42" t="n">
        <v>10.1</v>
      </c>
      <c r="F25" s="21" t="n"/>
      <c r="G25" s="3" t="n">
        <v>47127</v>
      </c>
      <c r="H25" t="inlineStr">
        <is>
          <t>USD</t>
        </is>
      </c>
      <c r="I25" s="2" t="n">
        <v>0.1</v>
      </c>
      <c r="J25" s="2" t="n">
        <v>10</v>
      </c>
      <c r="K25" s="4" t="n">
        <v>10.1</v>
      </c>
      <c r="L25" s="21" t="n"/>
      <c r="M25" s="3" t="n">
        <v>47127</v>
      </c>
      <c r="N25" t="inlineStr">
        <is>
          <t>USD</t>
        </is>
      </c>
      <c r="O25" s="2" t="n">
        <v>0.28</v>
      </c>
      <c r="P25" s="2" t="n">
        <v>8</v>
      </c>
      <c r="Q25" s="4" t="n">
        <v>8.279999999999999</v>
      </c>
      <c r="S25" s="3" t="n">
        <v>47127</v>
      </c>
      <c r="T25" t="inlineStr">
        <is>
          <t>USD</t>
        </is>
      </c>
      <c r="U25" s="2" t="n">
        <v>0.28</v>
      </c>
      <c r="V25" s="2" t="n">
        <v>8</v>
      </c>
      <c r="W25" s="4" t="n">
        <v>8.279999999999999</v>
      </c>
    </row>
    <row r="26" ht="15.75" customHeight="1" s="76" thickBot="1">
      <c r="A26" s="3" t="n">
        <v>47308</v>
      </c>
      <c r="B26" s="1" t="inlineStr">
        <is>
          <t>USD</t>
        </is>
      </c>
      <c r="C26" s="39" t="n">
        <v>0.05</v>
      </c>
      <c r="D26" s="2" t="n">
        <v>10</v>
      </c>
      <c r="E26" s="42" t="n">
        <v>10.05</v>
      </c>
      <c r="F26" s="21" t="n"/>
      <c r="G26" s="3" t="n">
        <v>47308</v>
      </c>
      <c r="H26" t="inlineStr">
        <is>
          <t>USD</t>
        </is>
      </c>
      <c r="I26" s="2" t="n">
        <v>0.05</v>
      </c>
      <c r="J26" s="2" t="n">
        <v>10</v>
      </c>
      <c r="K26" s="4" t="n">
        <v>10.05</v>
      </c>
      <c r="L26" s="21" t="n"/>
      <c r="M26" s="3" t="n">
        <v>47308</v>
      </c>
      <c r="N26" t="inlineStr">
        <is>
          <t>USD</t>
        </is>
      </c>
      <c r="O26" s="2" t="n">
        <v>0.21</v>
      </c>
      <c r="P26" s="2" t="n">
        <v>8</v>
      </c>
      <c r="Q26" s="4" t="n">
        <v>8.210000000000001</v>
      </c>
      <c r="S26" s="3" t="n">
        <v>47308</v>
      </c>
      <c r="T26" t="inlineStr">
        <is>
          <t>USD</t>
        </is>
      </c>
      <c r="U26" s="2" t="n">
        <v>0.21</v>
      </c>
      <c r="V26" s="2" t="n">
        <v>8</v>
      </c>
      <c r="W26" s="4" t="n">
        <v>8.210000000000001</v>
      </c>
    </row>
    <row r="27" ht="15.75" customHeight="1" s="76" thickBot="1">
      <c r="A27" s="5" t="n"/>
      <c r="B27" s="6" t="n"/>
      <c r="C27" s="40">
        <f>SUM(C10:C26)</f>
        <v/>
      </c>
      <c r="D27" s="7">
        <f>SUM(D10:D26)</f>
        <v/>
      </c>
      <c r="E27" s="43">
        <f>SUM(E9:E26)</f>
        <v/>
      </c>
      <c r="F27" s="21" t="n"/>
      <c r="G27" s="9" t="n"/>
      <c r="H27" s="6" t="n"/>
      <c r="I27" s="7">
        <f>SUM(I10:I26)</f>
        <v/>
      </c>
      <c r="J27" s="7">
        <f>SUM(J10:J26)</f>
        <v/>
      </c>
      <c r="K27" s="8">
        <f>SUM(K10:K26)</f>
        <v/>
      </c>
      <c r="L27" s="21" t="n"/>
      <c r="M27" s="3" t="n">
        <v>47492</v>
      </c>
      <c r="N27" t="inlineStr">
        <is>
          <t>USD</t>
        </is>
      </c>
      <c r="O27" s="2" t="n">
        <v>0.14</v>
      </c>
      <c r="P27" s="2" t="n">
        <v>8</v>
      </c>
      <c r="Q27" s="4" t="n">
        <v>8.140000000000001</v>
      </c>
      <c r="S27" s="3" t="n">
        <v>47492</v>
      </c>
      <c r="T27" t="inlineStr">
        <is>
          <t>USD</t>
        </is>
      </c>
      <c r="U27" s="2" t="n">
        <v>0.14</v>
      </c>
      <c r="V27" s="2" t="n">
        <v>8</v>
      </c>
      <c r="W27" s="4" t="n">
        <v>8.140000000000001</v>
      </c>
    </row>
    <row r="28" ht="15.75" customHeight="1" s="76" thickBot="1">
      <c r="B28" s="21" t="n"/>
      <c r="F28" s="21" t="n"/>
      <c r="I28" s="21" t="n"/>
      <c r="J28" s="21" t="n"/>
      <c r="K28" s="21" t="n"/>
      <c r="L28" s="21" t="n"/>
      <c r="M28" s="3" t="n">
        <v>47673</v>
      </c>
      <c r="N28" t="inlineStr">
        <is>
          <t>USD</t>
        </is>
      </c>
      <c r="O28" s="2" t="n">
        <v>0.07000000000000001</v>
      </c>
      <c r="P28" s="2" t="n">
        <v>8</v>
      </c>
      <c r="Q28" s="4" t="n">
        <v>8.07</v>
      </c>
      <c r="S28" s="3" t="n">
        <v>47673</v>
      </c>
      <c r="T28" t="inlineStr">
        <is>
          <t>USD</t>
        </is>
      </c>
      <c r="U28" s="2" t="n">
        <v>0.07000000000000001</v>
      </c>
      <c r="V28" s="2" t="n">
        <v>8</v>
      </c>
      <c r="W28" s="4" t="n">
        <v>8.07</v>
      </c>
    </row>
    <row r="29" ht="15.75" customHeight="1" s="76" thickBot="1">
      <c r="B29" s="21" t="n"/>
      <c r="F29" s="21" t="n"/>
      <c r="G29" s="21" t="n"/>
      <c r="H29" s="21" t="n"/>
      <c r="I29" s="21" t="n"/>
      <c r="J29" s="21" t="n"/>
      <c r="K29" s="21" t="n"/>
      <c r="L29" s="21" t="n"/>
      <c r="M29" s="5" t="n"/>
      <c r="N29" s="10" t="n"/>
      <c r="O29" s="7">
        <f>SUM(O10:O28)</f>
        <v/>
      </c>
      <c r="P29" s="7">
        <f>SUM(P10:P28)</f>
        <v/>
      </c>
      <c r="Q29" s="8">
        <f>SUM(Q10:Q28)</f>
        <v/>
      </c>
      <c r="S29" s="5" t="n"/>
      <c r="T29" s="10" t="n"/>
      <c r="U29" s="7">
        <f>SUM(U10:U28)</f>
        <v/>
      </c>
      <c r="V29" s="7">
        <f>SUM(V10:V28)</f>
        <v/>
      </c>
      <c r="W29" s="8">
        <f>SUM(W10:W28)</f>
        <v/>
      </c>
    </row>
    <row r="30" ht="15.75" customHeight="1" s="76" thickBot="1">
      <c r="B30" s="21" t="n"/>
      <c r="F30" s="21" t="n"/>
      <c r="G30" s="21" t="n"/>
      <c r="H30" s="21" t="n"/>
      <c r="I30" s="21" t="n"/>
      <c r="J30" s="21" t="n"/>
      <c r="K30" s="21" t="n"/>
      <c r="L30" s="21" t="n"/>
      <c r="O30" s="26" t="n"/>
      <c r="P30" s="26" t="n"/>
      <c r="Q30" s="26" t="n"/>
      <c r="U30" s="26" t="n"/>
      <c r="V30" s="26" t="n"/>
      <c r="W30" s="26" t="n"/>
    </row>
    <row r="31" ht="19.5" customHeight="1" s="76" thickBot="1">
      <c r="A31" s="20" t="inlineStr">
        <is>
          <t>AL35</t>
        </is>
      </c>
      <c r="B31" s="16" t="n"/>
      <c r="C31" s="17" t="inlineStr">
        <is>
          <t>Renta</t>
        </is>
      </c>
      <c r="D31" s="17" t="inlineStr">
        <is>
          <t>Amort</t>
        </is>
      </c>
      <c r="E31" s="18" t="inlineStr">
        <is>
          <t>R+A</t>
        </is>
      </c>
      <c r="F31" s="21" t="n"/>
      <c r="G31" s="20" t="inlineStr">
        <is>
          <t>AE38</t>
        </is>
      </c>
      <c r="H31" s="16" t="n"/>
      <c r="I31" s="17" t="inlineStr">
        <is>
          <t>Renta</t>
        </is>
      </c>
      <c r="J31" s="17" t="inlineStr">
        <is>
          <t>Amort</t>
        </is>
      </c>
      <c r="K31" s="18" t="inlineStr">
        <is>
          <t>R+A</t>
        </is>
      </c>
      <c r="L31" s="21" t="n"/>
      <c r="M31" s="20" t="inlineStr">
        <is>
          <t>AL41</t>
        </is>
      </c>
      <c r="N31" s="16" t="n"/>
      <c r="O31" s="17" t="inlineStr">
        <is>
          <t>Renta</t>
        </is>
      </c>
      <c r="P31" s="17" t="inlineStr">
        <is>
          <t>Amort</t>
        </is>
      </c>
      <c r="Q31" s="18" t="inlineStr">
        <is>
          <t>R+A</t>
        </is>
      </c>
      <c r="U31" s="26" t="n"/>
      <c r="V31" s="26" t="n"/>
      <c r="W31" s="26" t="n"/>
    </row>
    <row r="32" ht="18.75" customHeight="1" s="76">
      <c r="A32" s="31" t="inlineStr">
        <is>
          <t>TASA</t>
        </is>
      </c>
      <c r="B32" s="21" t="n">
        <v>1</v>
      </c>
      <c r="C32" s="27" t="n"/>
      <c r="D32" s="27" t="n"/>
      <c r="E32" s="28" t="n"/>
      <c r="F32" s="21" t="n"/>
      <c r="G32" s="31" t="inlineStr">
        <is>
          <t>TASA</t>
        </is>
      </c>
      <c r="H32" s="21" t="n">
        <v>0.125</v>
      </c>
      <c r="I32" s="27" t="n"/>
      <c r="J32" s="27" t="n"/>
      <c r="K32" s="28" t="n"/>
      <c r="M32" s="31" t="inlineStr">
        <is>
          <t>TASA</t>
        </is>
      </c>
      <c r="N32" s="21" t="n">
        <v>1</v>
      </c>
      <c r="O32" s="27" t="n"/>
      <c r="P32" s="27" t="n"/>
      <c r="Q32" s="28" t="n"/>
      <c r="T32" s="26" t="n"/>
      <c r="U32" s="26" t="n"/>
      <c r="V32" s="26" t="n"/>
    </row>
    <row r="33" ht="18.75" customHeight="1" s="76">
      <c r="A33" s="31" t="inlineStr">
        <is>
          <t>Fecha inicio</t>
        </is>
      </c>
      <c r="B33" s="24" t="n">
        <v>44076</v>
      </c>
      <c r="C33" s="27" t="n"/>
      <c r="D33" s="27" t="n"/>
      <c r="E33" s="28" t="n"/>
      <c r="F33" s="21" t="n"/>
      <c r="G33" s="31" t="inlineStr">
        <is>
          <t>Fecha inicio</t>
        </is>
      </c>
      <c r="H33" s="24" t="n">
        <v>44076</v>
      </c>
      <c r="I33" s="27" t="n"/>
      <c r="J33" s="27" t="n"/>
      <c r="K33" s="28" t="n"/>
      <c r="M33" s="31" t="inlineStr">
        <is>
          <t>Fecha inicio</t>
        </is>
      </c>
      <c r="N33" s="24" t="n">
        <v>44076</v>
      </c>
      <c r="O33" s="27" t="n"/>
      <c r="P33" s="27" t="n"/>
      <c r="Q33" s="28" t="n"/>
      <c r="T33" s="26" t="n"/>
      <c r="U33" s="26" t="n"/>
      <c r="V33" s="26" t="n"/>
    </row>
    <row r="34" ht="18.75" customHeight="1" s="76">
      <c r="A34" s="31" t="inlineStr">
        <is>
          <t>Fecha ultimo pago</t>
        </is>
      </c>
      <c r="B34" s="24" t="n">
        <v>44386</v>
      </c>
      <c r="C34" s="27" t="n"/>
      <c r="D34" s="27" t="n"/>
      <c r="E34" s="28" t="n"/>
      <c r="F34" s="21" t="n"/>
      <c r="G34" s="31" t="inlineStr">
        <is>
          <t>Fecha ultimo pago</t>
        </is>
      </c>
      <c r="H34" s="24" t="n">
        <v>44386</v>
      </c>
      <c r="I34" s="27" t="n"/>
      <c r="J34" s="27" t="n"/>
      <c r="K34" s="28" t="n"/>
      <c r="M34" s="31" t="inlineStr">
        <is>
          <t>Fecha ultimo pago</t>
        </is>
      </c>
      <c r="N34" s="24" t="n">
        <v>44386</v>
      </c>
      <c r="O34" s="27" t="n"/>
      <c r="P34" s="27" t="n"/>
      <c r="Q34" s="28" t="n"/>
      <c r="T34" s="26" t="n"/>
      <c r="U34" s="26" t="n"/>
      <c r="V34" s="26" t="n"/>
    </row>
    <row r="35" ht="18.75" customHeight="1" s="76">
      <c r="A35" s="31" t="inlineStr">
        <is>
          <t>Interes</t>
        </is>
      </c>
      <c r="B35" s="32" t="n">
        <v>0.00125</v>
      </c>
      <c r="C35" s="27" t="n"/>
      <c r="D35" s="27" t="n"/>
      <c r="E35" s="28" t="n"/>
      <c r="F35" s="21" t="n"/>
      <c r="G35" s="31" t="inlineStr">
        <is>
          <t>Interes</t>
        </is>
      </c>
      <c r="H35" s="32" t="n">
        <v>0.00125</v>
      </c>
      <c r="I35" s="27" t="n"/>
      <c r="J35" s="27" t="n"/>
      <c r="K35" s="28" t="n"/>
      <c r="M35" s="31" t="inlineStr">
        <is>
          <t>Interes</t>
        </is>
      </c>
      <c r="N35" s="32" t="n">
        <v>0.00125</v>
      </c>
      <c r="O35" s="27" t="n"/>
      <c r="P35" s="27" t="n"/>
      <c r="Q35" s="28" t="n"/>
      <c r="T35" s="26" t="n"/>
      <c r="U35" s="26" t="n"/>
      <c r="V35" s="26" t="n"/>
    </row>
    <row r="36" ht="18.75" customHeight="1" s="76">
      <c r="A36" s="31" t="inlineStr">
        <is>
          <t>VR</t>
        </is>
      </c>
      <c r="B36" s="21" t="n">
        <v>100</v>
      </c>
      <c r="C36" s="27" t="n"/>
      <c r="D36" s="27" t="n"/>
      <c r="E36" s="28" t="n"/>
      <c r="F36" s="21" t="n"/>
      <c r="G36" s="31" t="inlineStr">
        <is>
          <t>VR</t>
        </is>
      </c>
      <c r="H36" s="21" t="n">
        <v>100</v>
      </c>
      <c r="I36" s="27" t="n"/>
      <c r="J36" s="27" t="n"/>
      <c r="K36" s="28" t="n"/>
      <c r="M36" s="31" t="inlineStr">
        <is>
          <t>VR</t>
        </is>
      </c>
      <c r="N36" s="21" t="n">
        <v>100</v>
      </c>
      <c r="O36" s="27" t="n"/>
      <c r="P36" s="27" t="n"/>
      <c r="Q36" s="28" t="n"/>
      <c r="T36" s="26" t="n"/>
      <c r="U36" s="26" t="n"/>
      <c r="V36" s="26" t="n"/>
    </row>
    <row r="37" ht="18.75" customHeight="1" s="76">
      <c r="A37" s="31" t="inlineStr">
        <is>
          <t>Int Corrido</t>
        </is>
      </c>
      <c r="B37" s="46">
        <f>B35*DAYS360(B34,TODAY())/360*100</f>
        <v/>
      </c>
      <c r="C37" s="27" t="n"/>
      <c r="D37" s="27" t="n"/>
      <c r="E37" s="28" t="n"/>
      <c r="F37" s="21" t="n"/>
      <c r="G37" s="31" t="inlineStr">
        <is>
          <t>Int Corrido</t>
        </is>
      </c>
      <c r="H37" s="46">
        <f>H35*DAYS360(H34,TODAY())/360*100</f>
        <v/>
      </c>
      <c r="I37" s="27" t="n"/>
      <c r="J37" s="27" t="n"/>
      <c r="K37" s="28" t="n"/>
      <c r="M37" s="31" t="inlineStr">
        <is>
          <t>Int Corrido</t>
        </is>
      </c>
      <c r="N37" s="46">
        <f>N35*DAYS360(N33,TODAY())/360*100</f>
        <v/>
      </c>
      <c r="O37" s="27" t="n"/>
      <c r="P37" s="27" t="n"/>
      <c r="Q37" s="28" t="n"/>
      <c r="T37" s="26" t="n"/>
      <c r="U37" s="26" t="n"/>
      <c r="V37" s="26" t="n"/>
    </row>
    <row r="38" ht="19.5" customHeight="1" s="76" thickBot="1">
      <c r="A38" s="31" t="inlineStr">
        <is>
          <t>Valor Tecnico</t>
        </is>
      </c>
      <c r="B38" s="46">
        <f>B36+B37</f>
        <v/>
      </c>
      <c r="C38" s="27" t="n"/>
      <c r="D38" s="27" t="n"/>
      <c r="E38" s="50">
        <f>-'Paridad usd'!J39</f>
        <v/>
      </c>
      <c r="F38" s="21" t="n"/>
      <c r="G38" s="31" t="inlineStr">
        <is>
          <t>Valor Tecnico</t>
        </is>
      </c>
      <c r="H38" s="46">
        <f>H36+H37</f>
        <v/>
      </c>
      <c r="I38" s="27" t="n"/>
      <c r="J38" s="27" t="n"/>
      <c r="K38" s="50">
        <f>-'Paridad usd'!L39</f>
        <v/>
      </c>
      <c r="M38" s="31" t="inlineStr">
        <is>
          <t>Valor Tecnico</t>
        </is>
      </c>
      <c r="N38" s="46">
        <f>N36+N37</f>
        <v/>
      </c>
      <c r="O38" s="27" t="n"/>
      <c r="P38" s="27" t="n"/>
      <c r="Q38" s="50">
        <f>-'Paridad usd'!N39</f>
        <v/>
      </c>
      <c r="T38" s="26" t="n"/>
      <c r="U38" s="26" t="n"/>
      <c r="V38" s="26" t="n"/>
    </row>
    <row r="39" ht="15.75" customHeight="1" s="76" thickBot="1">
      <c r="A39" s="3" t="n"/>
      <c r="B39" s="1" t="n"/>
      <c r="C39" s="2" t="n"/>
      <c r="D39" s="2" t="n"/>
      <c r="E39" s="4" t="n"/>
      <c r="F39" s="21" t="n"/>
      <c r="G39" s="3" t="n"/>
      <c r="H39" s="1" t="n"/>
      <c r="I39" s="2" t="n"/>
      <c r="J39" s="2" t="n"/>
      <c r="K39" s="4" t="n"/>
      <c r="M39" s="3" t="n"/>
      <c r="N39" s="1" t="n"/>
      <c r="O39" s="2" t="n"/>
      <c r="P39" s="2" t="n"/>
      <c r="Q39" s="4" t="n"/>
      <c r="T39" s="26" t="n"/>
      <c r="U39" s="26" t="n"/>
      <c r="V39" s="26" t="n"/>
    </row>
    <row r="40" ht="15.75" customHeight="1" s="76" thickBot="1">
      <c r="A40" s="3" t="n">
        <v>44570</v>
      </c>
      <c r="B40" s="1" t="inlineStr">
        <is>
          <t>USD</t>
        </is>
      </c>
      <c r="C40" s="2" t="n">
        <v>0.5600000000000001</v>
      </c>
      <c r="D40" s="2" t="n">
        <v>0</v>
      </c>
      <c r="E40" s="51" t="n">
        <v>0.5600000000000001</v>
      </c>
      <c r="F40" s="21" t="n"/>
      <c r="G40" s="3" t="n">
        <v>44570</v>
      </c>
      <c r="H40" s="1" t="inlineStr">
        <is>
          <t>USD</t>
        </is>
      </c>
      <c r="I40" s="2" t="n">
        <v>1</v>
      </c>
      <c r="J40" s="2" t="n">
        <v>0</v>
      </c>
      <c r="K40" s="51" t="n">
        <v>1</v>
      </c>
      <c r="M40" s="3" t="n">
        <v>44570</v>
      </c>
      <c r="N40" s="1" t="inlineStr">
        <is>
          <t>USD</t>
        </is>
      </c>
      <c r="O40" s="2" t="n">
        <v>1.25</v>
      </c>
      <c r="P40" s="2" t="n">
        <v>0</v>
      </c>
      <c r="Q40" s="51" t="n">
        <v>1.25</v>
      </c>
      <c r="T40" s="26" t="n"/>
      <c r="U40" s="26" t="n"/>
      <c r="V40" s="26" t="n"/>
    </row>
    <row r="41" ht="15.75" customHeight="1" s="76" thickBot="1">
      <c r="A41" s="3" t="n">
        <v>44751</v>
      </c>
      <c r="B41" s="1" t="inlineStr">
        <is>
          <t>USD</t>
        </is>
      </c>
      <c r="C41" s="2" t="n">
        <v>0.5600000000000001</v>
      </c>
      <c r="D41" s="2" t="n">
        <v>0</v>
      </c>
      <c r="E41" s="51" t="n">
        <v>0.5600000000000001</v>
      </c>
      <c r="F41" s="21" t="n"/>
      <c r="G41" s="3" t="n">
        <v>44751</v>
      </c>
      <c r="H41" s="1" t="inlineStr">
        <is>
          <t>USD</t>
        </is>
      </c>
      <c r="I41" s="2" t="n">
        <v>1</v>
      </c>
      <c r="J41" s="2" t="n">
        <v>0</v>
      </c>
      <c r="K41" s="51" t="n">
        <v>1</v>
      </c>
      <c r="M41" s="3" t="n">
        <v>44751</v>
      </c>
      <c r="N41" s="1" t="inlineStr">
        <is>
          <t>USD</t>
        </is>
      </c>
      <c r="O41" s="2" t="n">
        <v>1.25</v>
      </c>
      <c r="P41" s="2" t="n">
        <v>0</v>
      </c>
      <c r="Q41" s="51" t="n">
        <v>1.25</v>
      </c>
      <c r="T41" s="26" t="n"/>
      <c r="U41" s="26" t="n"/>
      <c r="V41" s="26" t="n"/>
    </row>
    <row r="42" ht="15.75" customHeight="1" s="76" thickBot="1">
      <c r="A42" s="3" t="n">
        <v>44935</v>
      </c>
      <c r="B42" s="1" t="inlineStr">
        <is>
          <t>USD</t>
        </is>
      </c>
      <c r="C42" s="2" t="n">
        <v>0.75</v>
      </c>
      <c r="D42" s="2" t="n">
        <v>0</v>
      </c>
      <c r="E42" s="51" t="n">
        <v>0.75</v>
      </c>
      <c r="F42" s="21" t="n"/>
      <c r="G42" s="3" t="n">
        <v>44935</v>
      </c>
      <c r="H42" s="1" t="inlineStr">
        <is>
          <t>USD</t>
        </is>
      </c>
      <c r="I42" s="2" t="n">
        <v>1.94</v>
      </c>
      <c r="J42" s="2" t="n">
        <v>0</v>
      </c>
      <c r="K42" s="51" t="n">
        <v>1.94</v>
      </c>
      <c r="M42" s="3" t="n">
        <v>44935</v>
      </c>
      <c r="N42" s="1" t="inlineStr">
        <is>
          <t>USD</t>
        </is>
      </c>
      <c r="O42" s="2" t="n">
        <v>1.75</v>
      </c>
      <c r="P42" s="2" t="n">
        <v>0</v>
      </c>
      <c r="Q42" s="51" t="n">
        <v>1.75</v>
      </c>
      <c r="T42" s="26" t="n"/>
      <c r="U42" s="26" t="n"/>
      <c r="V42" s="26" t="n"/>
    </row>
    <row r="43" ht="15.75" customHeight="1" s="76" thickBot="1">
      <c r="A43" s="3" t="n">
        <v>45116</v>
      </c>
      <c r="B43" s="1" t="inlineStr">
        <is>
          <t>USD</t>
        </is>
      </c>
      <c r="C43" s="2" t="n">
        <v>0.75</v>
      </c>
      <c r="D43" s="2" t="n">
        <v>0</v>
      </c>
      <c r="E43" s="51" t="n">
        <v>0.75</v>
      </c>
      <c r="F43" s="21" t="n"/>
      <c r="G43" s="3" t="n">
        <v>45116</v>
      </c>
      <c r="H43" s="1" t="inlineStr">
        <is>
          <t>USD</t>
        </is>
      </c>
      <c r="I43" s="2" t="n">
        <v>1.94</v>
      </c>
      <c r="J43" s="2" t="n">
        <v>0</v>
      </c>
      <c r="K43" s="51" t="n">
        <v>1.94</v>
      </c>
      <c r="M43" s="3" t="n">
        <v>45116</v>
      </c>
      <c r="N43" s="1" t="inlineStr">
        <is>
          <t>USD</t>
        </is>
      </c>
      <c r="O43" s="2" t="n">
        <v>1.75</v>
      </c>
      <c r="P43" s="2" t="n">
        <v>0</v>
      </c>
      <c r="Q43" s="51" t="n">
        <v>1.75</v>
      </c>
      <c r="T43" s="26" t="n"/>
      <c r="U43" s="26" t="n"/>
      <c r="V43" s="26" t="n"/>
    </row>
    <row r="44" ht="15.75" customHeight="1" s="76" thickBot="1">
      <c r="A44" s="3" t="n">
        <v>45300</v>
      </c>
      <c r="B44" s="1" t="inlineStr">
        <is>
          <t>USD</t>
        </is>
      </c>
      <c r="C44" s="2" t="n">
        <v>1.81</v>
      </c>
      <c r="D44" s="2" t="n">
        <v>0</v>
      </c>
      <c r="E44" s="51" t="n">
        <v>1.81</v>
      </c>
      <c r="F44" s="21" t="n"/>
      <c r="G44" s="3" t="n">
        <v>45300</v>
      </c>
      <c r="H44" s="1" t="inlineStr">
        <is>
          <t>USD</t>
        </is>
      </c>
      <c r="I44" s="2" t="n">
        <v>2.12</v>
      </c>
      <c r="J44" s="2" t="n">
        <v>0</v>
      </c>
      <c r="K44" s="51" t="n">
        <v>2.12</v>
      </c>
      <c r="M44" s="3" t="n">
        <v>45300</v>
      </c>
      <c r="N44" s="1" t="inlineStr">
        <is>
          <t>USD</t>
        </is>
      </c>
      <c r="O44" s="2" t="n">
        <v>1.75</v>
      </c>
      <c r="P44" s="2" t="n">
        <v>0</v>
      </c>
      <c r="Q44" s="51" t="n">
        <v>1.75</v>
      </c>
      <c r="T44" s="26" t="n"/>
      <c r="U44" s="26" t="n"/>
      <c r="V44" s="26" t="n"/>
    </row>
    <row r="45" ht="15.75" customHeight="1" s="76" thickBot="1">
      <c r="A45" s="3" t="n">
        <v>45482</v>
      </c>
      <c r="B45" s="1" t="inlineStr">
        <is>
          <t>USD</t>
        </is>
      </c>
      <c r="C45" s="2" t="n">
        <v>1.81</v>
      </c>
      <c r="D45" s="2" t="n">
        <v>0</v>
      </c>
      <c r="E45" s="51" t="n">
        <v>1.81</v>
      </c>
      <c r="F45" s="21" t="n"/>
      <c r="G45" s="3" t="n">
        <v>45482</v>
      </c>
      <c r="H45" s="1" t="inlineStr">
        <is>
          <t>USD</t>
        </is>
      </c>
      <c r="I45" s="2" t="n">
        <v>2.12</v>
      </c>
      <c r="J45" s="2" t="n">
        <v>0</v>
      </c>
      <c r="K45" s="51" t="n">
        <v>2.12</v>
      </c>
      <c r="M45" s="3" t="n">
        <v>45482</v>
      </c>
      <c r="N45" s="1" t="inlineStr">
        <is>
          <t>USD</t>
        </is>
      </c>
      <c r="O45" s="2" t="n">
        <v>1.75</v>
      </c>
      <c r="P45" s="2" t="n">
        <v>0</v>
      </c>
      <c r="Q45" s="51" t="n">
        <v>1.75</v>
      </c>
      <c r="T45" s="26" t="n"/>
      <c r="U45" s="26" t="n"/>
      <c r="V45" s="26" t="n"/>
    </row>
    <row r="46" ht="15.75" customHeight="1" s="76" thickBot="1">
      <c r="A46" s="3" t="n">
        <v>45666</v>
      </c>
      <c r="B46" s="1" t="inlineStr">
        <is>
          <t>USD</t>
        </is>
      </c>
      <c r="C46" s="2" t="n">
        <v>2.06</v>
      </c>
      <c r="D46" s="2" t="n">
        <v>0</v>
      </c>
      <c r="E46" s="51" t="n">
        <v>2.06</v>
      </c>
      <c r="F46" s="21" t="n"/>
      <c r="G46" s="3" t="n">
        <v>45666</v>
      </c>
      <c r="H46" s="1" t="inlineStr">
        <is>
          <t>USD</t>
        </is>
      </c>
      <c r="I46" s="2" t="n">
        <v>2.5</v>
      </c>
      <c r="J46" s="2" t="n">
        <v>0</v>
      </c>
      <c r="K46" s="51" t="n">
        <v>2.5</v>
      </c>
      <c r="M46" s="3" t="n">
        <v>45666</v>
      </c>
      <c r="N46" s="1" t="inlineStr">
        <is>
          <t>USD</t>
        </is>
      </c>
      <c r="O46" s="2" t="n">
        <v>1.75</v>
      </c>
      <c r="P46" s="2" t="n">
        <v>0</v>
      </c>
      <c r="Q46" s="51" t="n">
        <v>1.75</v>
      </c>
      <c r="T46" s="26" t="n"/>
      <c r="U46" s="26" t="n"/>
      <c r="V46" s="26" t="n"/>
    </row>
    <row r="47" ht="15.75" customHeight="1" s="76" thickBot="1">
      <c r="A47" s="3" t="n">
        <v>45847</v>
      </c>
      <c r="B47" s="1" t="inlineStr">
        <is>
          <t>USD</t>
        </is>
      </c>
      <c r="C47" s="2" t="n">
        <v>2.06</v>
      </c>
      <c r="D47" s="2" t="n">
        <v>0</v>
      </c>
      <c r="E47" s="51" t="n">
        <v>2.06</v>
      </c>
      <c r="F47" s="21" t="n"/>
      <c r="G47" s="3" t="n">
        <v>45847</v>
      </c>
      <c r="H47" s="1" t="inlineStr">
        <is>
          <t>USD</t>
        </is>
      </c>
      <c r="I47" s="2" t="n">
        <v>2.5</v>
      </c>
      <c r="J47" s="2" t="n">
        <v>0</v>
      </c>
      <c r="K47" s="51" t="n">
        <v>2.5</v>
      </c>
      <c r="M47" s="3" t="n">
        <v>45847</v>
      </c>
      <c r="N47" s="1" t="inlineStr">
        <is>
          <t>USD</t>
        </is>
      </c>
      <c r="O47" s="2" t="n">
        <v>1.75</v>
      </c>
      <c r="P47" s="2" t="n">
        <v>0</v>
      </c>
      <c r="Q47" s="51" t="n">
        <v>1.75</v>
      </c>
      <c r="T47" s="26" t="n"/>
      <c r="U47" s="26" t="n"/>
      <c r="V47" s="26" t="n"/>
    </row>
    <row r="48" ht="15.75" customHeight="1" s="76" thickBot="1">
      <c r="A48" s="3" t="n">
        <v>46031</v>
      </c>
      <c r="B48" s="1" t="inlineStr">
        <is>
          <t>USD</t>
        </is>
      </c>
      <c r="C48" s="2" t="n">
        <v>2.06</v>
      </c>
      <c r="D48" s="2" t="n">
        <v>0</v>
      </c>
      <c r="E48" s="51" t="n">
        <v>2.06</v>
      </c>
      <c r="F48" s="21" t="n"/>
      <c r="G48" s="3" t="n">
        <v>46031</v>
      </c>
      <c r="H48" s="1" t="inlineStr">
        <is>
          <t>USD</t>
        </is>
      </c>
      <c r="I48" s="2" t="n">
        <v>2.5</v>
      </c>
      <c r="J48" s="2" t="n">
        <v>0</v>
      </c>
      <c r="K48" s="51" t="n">
        <v>2.5</v>
      </c>
      <c r="M48" s="3" t="n">
        <v>46031</v>
      </c>
      <c r="N48" s="1" t="inlineStr">
        <is>
          <t>USD</t>
        </is>
      </c>
      <c r="O48" s="2" t="n">
        <v>1.75</v>
      </c>
      <c r="P48" s="2" t="n">
        <v>0</v>
      </c>
      <c r="Q48" s="51" t="n">
        <v>1.75</v>
      </c>
      <c r="T48" s="26" t="n"/>
      <c r="U48" s="26" t="n"/>
      <c r="V48" s="26" t="n"/>
    </row>
    <row r="49" ht="15.75" customHeight="1" s="76" thickBot="1">
      <c r="A49" s="3" t="n">
        <v>46212</v>
      </c>
      <c r="B49" s="1" t="inlineStr">
        <is>
          <t>USD</t>
        </is>
      </c>
      <c r="C49" s="2" t="n">
        <v>2.06</v>
      </c>
      <c r="D49" s="2" t="n">
        <v>0</v>
      </c>
      <c r="E49" s="51" t="n">
        <v>2.06</v>
      </c>
      <c r="F49" s="21" t="n"/>
      <c r="G49" s="3" t="n">
        <v>46212</v>
      </c>
      <c r="H49" s="1" t="inlineStr">
        <is>
          <t>USD</t>
        </is>
      </c>
      <c r="I49" s="2" t="n">
        <v>2.5</v>
      </c>
      <c r="J49" s="2" t="n">
        <v>0</v>
      </c>
      <c r="K49" s="51" t="n">
        <v>2.5</v>
      </c>
      <c r="M49" s="3" t="n">
        <v>46212</v>
      </c>
      <c r="N49" s="1" t="inlineStr">
        <is>
          <t>USD</t>
        </is>
      </c>
      <c r="O49" s="2" t="n">
        <v>1.75</v>
      </c>
      <c r="P49" s="2" t="n">
        <v>0</v>
      </c>
      <c r="Q49" s="51" t="n">
        <v>1.75</v>
      </c>
      <c r="T49" s="26" t="n"/>
      <c r="U49" s="26" t="n"/>
      <c r="V49" s="26" t="n"/>
    </row>
    <row r="50" ht="15.75" customHeight="1" s="76" thickBot="1">
      <c r="A50" s="3" t="n">
        <v>46396</v>
      </c>
      <c r="B50" s="1" t="inlineStr">
        <is>
          <t>USD</t>
        </is>
      </c>
      <c r="C50" s="2" t="n">
        <v>2.06</v>
      </c>
      <c r="D50" s="2" t="n">
        <v>0</v>
      </c>
      <c r="E50" s="51" t="n">
        <v>2.06</v>
      </c>
      <c r="F50" s="21" t="n"/>
      <c r="G50" s="3" t="n">
        <v>46396</v>
      </c>
      <c r="H50" s="1" t="inlineStr">
        <is>
          <t>USD</t>
        </is>
      </c>
      <c r="I50" s="2" t="n">
        <v>2.5</v>
      </c>
      <c r="J50" s="2" t="n">
        <v>0</v>
      </c>
      <c r="K50" s="51" t="n">
        <v>2.5</v>
      </c>
      <c r="M50" s="3" t="n">
        <v>46396</v>
      </c>
      <c r="N50" s="1" t="inlineStr">
        <is>
          <t>USD</t>
        </is>
      </c>
      <c r="O50" s="2" t="n">
        <v>1.75</v>
      </c>
      <c r="P50" s="2" t="n">
        <v>0</v>
      </c>
      <c r="Q50" s="51" t="n">
        <v>1.75</v>
      </c>
      <c r="T50" s="26" t="n"/>
      <c r="U50" s="26" t="n"/>
      <c r="V50" s="26" t="n"/>
    </row>
    <row r="51" ht="15.75" customHeight="1" s="76" thickBot="1">
      <c r="A51" s="3" t="n">
        <v>46577</v>
      </c>
      <c r="B51" s="1" t="inlineStr">
        <is>
          <t>USD</t>
        </is>
      </c>
      <c r="C51" s="2" t="n">
        <v>2.06</v>
      </c>
      <c r="D51" s="2" t="n">
        <v>0</v>
      </c>
      <c r="E51" s="51" t="n">
        <v>2.06</v>
      </c>
      <c r="F51" s="21" t="n"/>
      <c r="G51" s="3" t="n">
        <v>46577</v>
      </c>
      <c r="H51" s="1" t="inlineStr">
        <is>
          <t>USD</t>
        </is>
      </c>
      <c r="I51" s="2" t="n">
        <v>2.5</v>
      </c>
      <c r="J51" s="2" t="n">
        <v>4.55</v>
      </c>
      <c r="K51" s="51" t="n">
        <v>7.05</v>
      </c>
      <c r="M51" s="3" t="n">
        <v>46577</v>
      </c>
      <c r="N51" s="1" t="inlineStr">
        <is>
          <t>USD</t>
        </is>
      </c>
      <c r="O51" s="2" t="n">
        <v>1.75</v>
      </c>
      <c r="P51" s="2" t="n">
        <v>0</v>
      </c>
      <c r="Q51" s="51" t="n">
        <v>1.75</v>
      </c>
      <c r="T51" s="26" t="n"/>
      <c r="U51" s="26" t="n"/>
      <c r="V51" s="26" t="n"/>
    </row>
    <row r="52" ht="15.75" customHeight="1" s="76" thickBot="1">
      <c r="A52" s="3" t="n">
        <v>46761</v>
      </c>
      <c r="B52" s="1" t="inlineStr">
        <is>
          <t>USD</t>
        </is>
      </c>
      <c r="C52" s="2" t="n">
        <v>2.38</v>
      </c>
      <c r="D52" s="2" t="n">
        <v>0</v>
      </c>
      <c r="E52" s="51" t="n">
        <v>2.38</v>
      </c>
      <c r="F52" s="21" t="n"/>
      <c r="G52" s="3" t="n">
        <v>46761</v>
      </c>
      <c r="H52" s="1" t="inlineStr">
        <is>
          <t>USD</t>
        </is>
      </c>
      <c r="I52" s="2" t="n">
        <v>2.39</v>
      </c>
      <c r="J52" s="2" t="n">
        <v>4.55</v>
      </c>
      <c r="K52" s="51" t="n">
        <v>6.94</v>
      </c>
      <c r="M52" s="3" t="n">
        <v>46761</v>
      </c>
      <c r="N52" s="1" t="inlineStr">
        <is>
          <t>USD</t>
        </is>
      </c>
      <c r="O52" s="2" t="n">
        <v>1.75</v>
      </c>
      <c r="P52" s="2" t="n">
        <v>3.57</v>
      </c>
      <c r="Q52" s="51" t="n">
        <v>5.32</v>
      </c>
      <c r="T52" s="26" t="n"/>
      <c r="U52" s="26" t="n"/>
      <c r="V52" s="26" t="n"/>
    </row>
    <row r="53" ht="15.75" customHeight="1" s="76" thickBot="1">
      <c r="A53" s="3" t="n">
        <v>46943</v>
      </c>
      <c r="B53" s="1" t="inlineStr">
        <is>
          <t>USD</t>
        </is>
      </c>
      <c r="C53" s="2" t="n">
        <v>2.38</v>
      </c>
      <c r="D53" s="2" t="n">
        <v>0</v>
      </c>
      <c r="E53" s="51" t="n">
        <v>2.38</v>
      </c>
      <c r="F53" s="21" t="n"/>
      <c r="G53" s="3" t="n">
        <v>46943</v>
      </c>
      <c r="H53" s="1" t="inlineStr">
        <is>
          <t>USD</t>
        </is>
      </c>
      <c r="I53" s="2" t="n">
        <v>2.27</v>
      </c>
      <c r="J53" s="2" t="n">
        <v>4.55</v>
      </c>
      <c r="K53" s="4" t="n">
        <v>6.82</v>
      </c>
      <c r="M53" s="3" t="n">
        <v>46943</v>
      </c>
      <c r="N53" s="1" t="inlineStr">
        <is>
          <t>USD</t>
        </is>
      </c>
      <c r="O53" s="2" t="n">
        <v>1.69</v>
      </c>
      <c r="P53" s="2" t="n">
        <v>3.57</v>
      </c>
      <c r="Q53" s="51" t="n">
        <v>5.26</v>
      </c>
      <c r="T53" s="26" t="n"/>
      <c r="U53" s="26" t="n"/>
      <c r="V53" s="26" t="n"/>
    </row>
    <row r="54" ht="15.75" customHeight="1" s="76" thickBot="1">
      <c r="A54" s="3" t="n">
        <v>47127</v>
      </c>
      <c r="B54" s="1" t="inlineStr">
        <is>
          <t>USD</t>
        </is>
      </c>
      <c r="C54" s="2" t="n">
        <v>2.5</v>
      </c>
      <c r="D54" s="2" t="n">
        <v>0</v>
      </c>
      <c r="E54" s="51" t="n">
        <v>2.5</v>
      </c>
      <c r="F54" s="21" t="n"/>
      <c r="G54" s="3" t="n">
        <v>47127</v>
      </c>
      <c r="H54" s="1" t="inlineStr">
        <is>
          <t>USD</t>
        </is>
      </c>
      <c r="I54" s="2" t="n">
        <v>2.16</v>
      </c>
      <c r="J54" s="2" t="n">
        <v>4.55</v>
      </c>
      <c r="K54" s="4" t="n">
        <v>6.71</v>
      </c>
      <c r="M54" s="3" t="n">
        <v>47127</v>
      </c>
      <c r="N54" s="1" t="inlineStr">
        <is>
          <t>USD</t>
        </is>
      </c>
      <c r="O54" s="2" t="n">
        <v>1.63</v>
      </c>
      <c r="P54" s="2" t="n">
        <v>3.57</v>
      </c>
      <c r="Q54" s="51" t="n">
        <v>5.2</v>
      </c>
      <c r="T54" s="26" t="n"/>
      <c r="U54" s="26" t="n"/>
      <c r="V54" s="26" t="n"/>
    </row>
    <row r="55" ht="15.75" customHeight="1" s="76" thickBot="1">
      <c r="A55" s="3" t="n">
        <v>47308</v>
      </c>
      <c r="B55" s="1" t="inlineStr">
        <is>
          <t>USD</t>
        </is>
      </c>
      <c r="C55" s="2" t="n">
        <v>2.5</v>
      </c>
      <c r="D55" s="2" t="n">
        <v>0</v>
      </c>
      <c r="E55" s="51" t="n">
        <v>2.5</v>
      </c>
      <c r="F55" s="21" t="n"/>
      <c r="G55" s="3" t="n">
        <v>47308</v>
      </c>
      <c r="H55" s="1" t="inlineStr">
        <is>
          <t>USD</t>
        </is>
      </c>
      <c r="I55" s="2" t="n">
        <v>2.05</v>
      </c>
      <c r="J55" s="2" t="n">
        <v>4.55</v>
      </c>
      <c r="K55" s="4" t="n">
        <v>6.6</v>
      </c>
      <c r="M55" s="3" t="n">
        <v>47308</v>
      </c>
      <c r="N55" s="1" t="inlineStr">
        <is>
          <t>USD</t>
        </is>
      </c>
      <c r="O55" s="2" t="n">
        <v>1.56</v>
      </c>
      <c r="P55" s="2" t="n">
        <v>3.57</v>
      </c>
      <c r="Q55" s="4" t="n">
        <v>5.13</v>
      </c>
      <c r="T55" s="26" t="n"/>
      <c r="U55" s="26" t="n"/>
      <c r="V55" s="26" t="n"/>
    </row>
    <row r="56" ht="15.75" customHeight="1" s="76" thickBot="1">
      <c r="A56" s="3" t="n">
        <v>47492</v>
      </c>
      <c r="B56" s="1" t="inlineStr">
        <is>
          <t>USD</t>
        </is>
      </c>
      <c r="C56" s="2" t="n">
        <v>2.5</v>
      </c>
      <c r="D56" s="2" t="n">
        <v>0</v>
      </c>
      <c r="E56" s="51" t="n">
        <v>2.5</v>
      </c>
      <c r="F56" s="21" t="n"/>
      <c r="G56" s="3" t="n">
        <v>47492</v>
      </c>
      <c r="H56" s="1" t="inlineStr">
        <is>
          <t>USD</t>
        </is>
      </c>
      <c r="I56" s="2" t="n">
        <v>1.93</v>
      </c>
      <c r="J56" s="2" t="n">
        <v>4.55</v>
      </c>
      <c r="K56" s="4" t="n">
        <v>6.48</v>
      </c>
      <c r="M56" s="3" t="n">
        <v>47492</v>
      </c>
      <c r="N56" s="1" t="inlineStr">
        <is>
          <t>USD</t>
        </is>
      </c>
      <c r="O56" s="2" t="n">
        <v>2.09</v>
      </c>
      <c r="P56" s="2" t="n">
        <v>3.57</v>
      </c>
      <c r="Q56" s="4" t="n">
        <v>5.66</v>
      </c>
      <c r="T56" s="26" t="n"/>
      <c r="U56" s="26" t="n"/>
      <c r="V56" s="26" t="n"/>
    </row>
    <row r="57" ht="15.75" customHeight="1" s="76" thickBot="1">
      <c r="A57" s="3" t="n">
        <v>47673</v>
      </c>
      <c r="B57" s="1" t="inlineStr">
        <is>
          <t>USD</t>
        </is>
      </c>
      <c r="C57" s="2" t="n">
        <v>2.5</v>
      </c>
      <c r="D57" s="2" t="n">
        <v>0</v>
      </c>
      <c r="E57" s="51" t="n">
        <v>2.5</v>
      </c>
      <c r="F57" s="21" t="n"/>
      <c r="G57" s="3" t="n">
        <v>47673</v>
      </c>
      <c r="H57" s="1" t="inlineStr">
        <is>
          <t>USD</t>
        </is>
      </c>
      <c r="I57" s="2" t="n">
        <v>1.82</v>
      </c>
      <c r="J57" s="2" t="n">
        <v>4.55</v>
      </c>
      <c r="K57" s="4" t="n">
        <v>6.37</v>
      </c>
      <c r="M57" s="3" t="n">
        <v>47673</v>
      </c>
      <c r="N57" s="1" t="inlineStr">
        <is>
          <t>USD</t>
        </is>
      </c>
      <c r="O57" s="2" t="n">
        <v>2</v>
      </c>
      <c r="P57" s="2" t="n">
        <v>3.57</v>
      </c>
      <c r="Q57" s="4" t="n">
        <v>5.57</v>
      </c>
      <c r="T57" s="26" t="n"/>
      <c r="U57" s="26" t="n"/>
      <c r="V57" s="26" t="n"/>
    </row>
    <row r="58" ht="15.75" customHeight="1" s="76" thickBot="1">
      <c r="A58" s="3" t="n">
        <v>47857</v>
      </c>
      <c r="B58" s="1" t="inlineStr">
        <is>
          <t>USD</t>
        </is>
      </c>
      <c r="C58" s="2" t="n">
        <v>2.5</v>
      </c>
      <c r="D58" s="2" t="n">
        <v>10</v>
      </c>
      <c r="E58" s="4" t="n">
        <v>12.5</v>
      </c>
      <c r="F58" s="21" t="n"/>
      <c r="G58" s="3" t="n">
        <v>47857</v>
      </c>
      <c r="H58" s="1" t="inlineStr">
        <is>
          <t>USD</t>
        </is>
      </c>
      <c r="I58" s="2" t="n">
        <v>1.7</v>
      </c>
      <c r="J58" s="2" t="n">
        <v>4.55</v>
      </c>
      <c r="K58" s="4" t="n">
        <v>6.25</v>
      </c>
      <c r="M58" s="3" t="n">
        <v>47857</v>
      </c>
      <c r="N58" s="1" t="inlineStr">
        <is>
          <t>USD</t>
        </is>
      </c>
      <c r="O58" s="2" t="n">
        <v>1.92</v>
      </c>
      <c r="P58" s="2" t="n">
        <v>3.57</v>
      </c>
      <c r="Q58" s="4" t="n">
        <v>5.49</v>
      </c>
      <c r="T58" s="26" t="n"/>
      <c r="U58" s="26" t="n"/>
      <c r="V58" s="26" t="n"/>
    </row>
    <row r="59" ht="15.75" customHeight="1" s="76" thickBot="1">
      <c r="A59" s="3" t="n">
        <v>48038</v>
      </c>
      <c r="B59" s="1" t="inlineStr">
        <is>
          <t>USD</t>
        </is>
      </c>
      <c r="C59" s="2" t="n">
        <v>2.25</v>
      </c>
      <c r="D59" s="2" t="n">
        <v>10</v>
      </c>
      <c r="E59" s="4" t="n">
        <v>12.25</v>
      </c>
      <c r="F59" s="21" t="n"/>
      <c r="G59" s="3" t="n">
        <v>48038</v>
      </c>
      <c r="H59" s="1" t="inlineStr">
        <is>
          <t>USD</t>
        </is>
      </c>
      <c r="I59" s="2" t="n">
        <v>1.59</v>
      </c>
      <c r="J59" s="2" t="n">
        <v>4.55</v>
      </c>
      <c r="K59" s="4" t="n">
        <v>6.14</v>
      </c>
      <c r="M59" s="3" t="n">
        <v>48038</v>
      </c>
      <c r="N59" s="1" t="inlineStr">
        <is>
          <t>USD</t>
        </is>
      </c>
      <c r="O59" s="2" t="n">
        <v>1.83</v>
      </c>
      <c r="P59" s="2" t="n">
        <v>3.57</v>
      </c>
      <c r="Q59" s="4" t="n">
        <v>5.4</v>
      </c>
      <c r="T59" s="26" t="n"/>
      <c r="U59" s="26" t="n"/>
      <c r="V59" s="26" t="n"/>
    </row>
    <row r="60" ht="15.75" customHeight="1" s="76" thickBot="1">
      <c r="A60" s="3" t="n">
        <v>48222</v>
      </c>
      <c r="B60" s="1" t="inlineStr">
        <is>
          <t>USD</t>
        </is>
      </c>
      <c r="C60" s="2" t="n">
        <v>2</v>
      </c>
      <c r="D60" s="2" t="n">
        <v>10</v>
      </c>
      <c r="E60" s="4" t="n">
        <v>12</v>
      </c>
      <c r="F60" s="21" t="n"/>
      <c r="G60" s="3" t="n">
        <v>48222</v>
      </c>
      <c r="H60" s="1" t="inlineStr">
        <is>
          <t>USD</t>
        </is>
      </c>
      <c r="I60" s="2" t="n">
        <v>1.48</v>
      </c>
      <c r="J60" s="2" t="n">
        <v>4.55</v>
      </c>
      <c r="K60" s="4" t="n">
        <v>6.03</v>
      </c>
      <c r="L60" s="21" t="n"/>
      <c r="M60" s="3" t="n">
        <v>48222</v>
      </c>
      <c r="N60" s="1" t="inlineStr">
        <is>
          <t>USD</t>
        </is>
      </c>
      <c r="O60" s="2" t="n">
        <v>1.74</v>
      </c>
      <c r="P60" s="2" t="n">
        <v>3.57</v>
      </c>
      <c r="Q60" s="4" t="n">
        <v>5.31</v>
      </c>
      <c r="U60" s="26" t="n"/>
      <c r="V60" s="26" t="n"/>
      <c r="W60" s="26" t="n"/>
    </row>
    <row r="61" ht="15.75" customHeight="1" s="76" thickBot="1">
      <c r="A61" s="3" t="n">
        <v>48404</v>
      </c>
      <c r="B61" s="1" t="inlineStr">
        <is>
          <t>USD</t>
        </is>
      </c>
      <c r="C61" s="2" t="n">
        <v>1.75</v>
      </c>
      <c r="D61" s="2" t="n">
        <v>10</v>
      </c>
      <c r="E61" s="4" t="n">
        <v>11.75</v>
      </c>
      <c r="F61" s="21" t="n"/>
      <c r="G61" s="3" t="n">
        <v>48404</v>
      </c>
      <c r="H61" s="1" t="inlineStr">
        <is>
          <t>USD</t>
        </is>
      </c>
      <c r="I61" s="2" t="n">
        <v>1.36</v>
      </c>
      <c r="J61" s="2" t="n">
        <v>4.55</v>
      </c>
      <c r="K61" s="4" t="n">
        <v>5.91</v>
      </c>
      <c r="L61" s="21" t="n"/>
      <c r="M61" s="3" t="n">
        <v>48404</v>
      </c>
      <c r="N61" s="1" t="inlineStr">
        <is>
          <t>USD</t>
        </is>
      </c>
      <c r="O61" s="2" t="n">
        <v>1.65</v>
      </c>
      <c r="P61" s="2" t="n">
        <v>3.57</v>
      </c>
      <c r="Q61" s="4" t="n">
        <v>5.22</v>
      </c>
      <c r="U61" s="26" t="n"/>
      <c r="V61" s="26" t="n"/>
      <c r="W61" s="26" t="n"/>
    </row>
    <row r="62" ht="15.75" customHeight="1" s="76" thickBot="1">
      <c r="A62" s="3" t="n">
        <v>48588</v>
      </c>
      <c r="B62" s="1" t="inlineStr">
        <is>
          <t>USD</t>
        </is>
      </c>
      <c r="C62" s="2" t="n">
        <v>1.5</v>
      </c>
      <c r="D62" s="2" t="n">
        <v>10</v>
      </c>
      <c r="E62" s="4" t="n">
        <v>11.5</v>
      </c>
      <c r="F62" s="21" t="n"/>
      <c r="G62" s="3" t="n">
        <v>48588</v>
      </c>
      <c r="H62" s="1" t="inlineStr">
        <is>
          <t>USD</t>
        </is>
      </c>
      <c r="I62" s="2" t="n">
        <v>1.25</v>
      </c>
      <c r="J62" s="2" t="n">
        <v>4.55</v>
      </c>
      <c r="K62" s="4" t="n">
        <v>5.8</v>
      </c>
      <c r="L62" s="21" t="n"/>
      <c r="M62" s="3" t="n">
        <v>48588</v>
      </c>
      <c r="N62" s="1" t="inlineStr">
        <is>
          <t>USD</t>
        </is>
      </c>
      <c r="O62" s="2" t="n">
        <v>1.57</v>
      </c>
      <c r="P62" s="2" t="n">
        <v>3.57</v>
      </c>
      <c r="Q62" s="4" t="n">
        <v>5.14</v>
      </c>
      <c r="U62" s="26" t="n"/>
      <c r="V62" s="26" t="n"/>
      <c r="W62" s="26" t="n"/>
    </row>
    <row r="63" ht="15.75" customHeight="1" s="76" thickBot="1">
      <c r="A63" s="3" t="n">
        <v>48769</v>
      </c>
      <c r="B63" s="1" t="inlineStr">
        <is>
          <t>USD</t>
        </is>
      </c>
      <c r="C63" s="2" t="n">
        <v>1.25</v>
      </c>
      <c r="D63" s="2" t="n">
        <v>10</v>
      </c>
      <c r="E63" s="4" t="n">
        <v>11.25</v>
      </c>
      <c r="F63" s="21" t="n"/>
      <c r="G63" s="3" t="n">
        <v>48769</v>
      </c>
      <c r="H63" s="1" t="inlineStr">
        <is>
          <t>USD</t>
        </is>
      </c>
      <c r="I63" s="2" t="n">
        <v>1.14</v>
      </c>
      <c r="J63" s="2" t="n">
        <v>4.55</v>
      </c>
      <c r="K63" s="4" t="n">
        <v>5.69</v>
      </c>
      <c r="L63" s="21" t="n"/>
      <c r="M63" s="3" t="n">
        <v>48769</v>
      </c>
      <c r="N63" s="1" t="inlineStr">
        <is>
          <t>USD</t>
        </is>
      </c>
      <c r="O63" s="2" t="n">
        <v>1.48</v>
      </c>
      <c r="P63" s="2" t="n">
        <v>3.57</v>
      </c>
      <c r="Q63" s="4" t="n">
        <v>5.05</v>
      </c>
      <c r="U63" s="26" t="n"/>
      <c r="V63" s="26" t="n"/>
      <c r="W63" s="26" t="n"/>
    </row>
    <row r="64" ht="15.75" customHeight="1" s="76" thickBot="1">
      <c r="A64" s="3" t="n">
        <v>48953</v>
      </c>
      <c r="B64" s="1" t="inlineStr">
        <is>
          <t>USD</t>
        </is>
      </c>
      <c r="C64" s="2" t="n">
        <v>1</v>
      </c>
      <c r="D64" s="2" t="n">
        <v>10</v>
      </c>
      <c r="E64" s="4" t="n">
        <v>11</v>
      </c>
      <c r="F64" s="21" t="n"/>
      <c r="G64" s="3" t="n">
        <v>48953</v>
      </c>
      <c r="H64" s="1" t="inlineStr">
        <is>
          <t>USD</t>
        </is>
      </c>
      <c r="I64" s="2" t="n">
        <v>1.02</v>
      </c>
      <c r="J64" s="2" t="n">
        <v>4.55</v>
      </c>
      <c r="K64" s="4" t="n">
        <v>5.57</v>
      </c>
      <c r="L64" s="21" t="n"/>
      <c r="M64" s="3" t="n">
        <v>48953</v>
      </c>
      <c r="N64" s="1" t="inlineStr">
        <is>
          <t>USD</t>
        </is>
      </c>
      <c r="O64" s="2" t="n">
        <v>1.39</v>
      </c>
      <c r="P64" s="2" t="n">
        <v>3.57</v>
      </c>
      <c r="Q64" s="4" t="n">
        <v>4.96</v>
      </c>
      <c r="U64" s="26" t="n"/>
      <c r="V64" s="26" t="n"/>
      <c r="W64" s="26" t="n"/>
    </row>
    <row r="65" ht="15.75" customHeight="1" s="76" thickBot="1">
      <c r="A65" s="3" t="n">
        <v>49134</v>
      </c>
      <c r="B65" s="1" t="inlineStr">
        <is>
          <t>USD</t>
        </is>
      </c>
      <c r="C65" s="2" t="n">
        <v>0.75</v>
      </c>
      <c r="D65" s="2" t="n">
        <v>10</v>
      </c>
      <c r="E65" s="4" t="n">
        <v>10.75</v>
      </c>
      <c r="F65" s="21" t="n"/>
      <c r="G65" s="3" t="n">
        <v>49134</v>
      </c>
      <c r="H65" s="1" t="inlineStr">
        <is>
          <t>USD</t>
        </is>
      </c>
      <c r="I65" s="2" t="n">
        <v>0.91</v>
      </c>
      <c r="J65" s="2" t="n">
        <v>4.55</v>
      </c>
      <c r="K65" s="4" t="n">
        <v>5.46</v>
      </c>
      <c r="L65" s="21" t="n"/>
      <c r="M65" s="3" t="n">
        <v>49134</v>
      </c>
      <c r="N65" s="1" t="inlineStr">
        <is>
          <t>USD</t>
        </is>
      </c>
      <c r="O65" s="2" t="n">
        <v>1.31</v>
      </c>
      <c r="P65" s="2" t="n">
        <v>3.57</v>
      </c>
      <c r="Q65" s="4" t="n">
        <v>4.88</v>
      </c>
      <c r="U65" s="26" t="n"/>
      <c r="V65" s="26" t="n"/>
      <c r="W65" s="26" t="n"/>
    </row>
    <row r="66" ht="15.75" customHeight="1" s="76" thickBot="1">
      <c r="A66" s="3" t="n">
        <v>49318</v>
      </c>
      <c r="B66" s="1" t="inlineStr">
        <is>
          <t>USD</t>
        </is>
      </c>
      <c r="C66" s="2" t="n">
        <v>0.5</v>
      </c>
      <c r="D66" s="2" t="n">
        <v>10</v>
      </c>
      <c r="E66" s="4" t="n">
        <v>10.5</v>
      </c>
      <c r="F66" s="21" t="n"/>
      <c r="G66" s="3" t="n">
        <v>49318</v>
      </c>
      <c r="H66" s="1" t="inlineStr">
        <is>
          <t>USD</t>
        </is>
      </c>
      <c r="I66" s="2" t="n">
        <v>0.8</v>
      </c>
      <c r="J66" s="2" t="n">
        <v>4.55</v>
      </c>
      <c r="K66" s="4" t="n">
        <v>5.35</v>
      </c>
      <c r="L66" s="21" t="n"/>
      <c r="M66" s="3" t="n">
        <v>49318</v>
      </c>
      <c r="N66" s="1" t="inlineStr">
        <is>
          <t>USD</t>
        </is>
      </c>
      <c r="O66" s="2" t="n">
        <v>1.22</v>
      </c>
      <c r="P66" s="2" t="n">
        <v>3.57</v>
      </c>
      <c r="Q66" s="4" t="n">
        <v>4.79</v>
      </c>
      <c r="U66" s="26" t="n"/>
      <c r="V66" s="26" t="n"/>
      <c r="W66" s="26" t="n"/>
    </row>
    <row r="67" ht="15.75" customHeight="1" s="76" thickBot="1">
      <c r="A67" s="3" t="n">
        <v>49499</v>
      </c>
      <c r="B67" s="1" t="inlineStr">
        <is>
          <t>USD</t>
        </is>
      </c>
      <c r="C67" s="2" t="n">
        <v>0.25</v>
      </c>
      <c r="D67" s="2" t="n">
        <v>10</v>
      </c>
      <c r="E67" s="4" t="n">
        <v>10.25</v>
      </c>
      <c r="F67" s="21" t="n"/>
      <c r="G67" s="3" t="n">
        <v>49499</v>
      </c>
      <c r="H67" s="1" t="inlineStr">
        <is>
          <t>USD</t>
        </is>
      </c>
      <c r="I67" s="2" t="n">
        <v>0.68</v>
      </c>
      <c r="J67" s="2" t="n">
        <v>4.55</v>
      </c>
      <c r="K67" s="4" t="n">
        <v>5.23</v>
      </c>
      <c r="L67" s="21" t="n"/>
      <c r="M67" s="3" t="n">
        <v>49499</v>
      </c>
      <c r="N67" s="1" t="inlineStr">
        <is>
          <t>USD</t>
        </is>
      </c>
      <c r="O67" s="2" t="n">
        <v>1.13</v>
      </c>
      <c r="P67" s="2" t="n">
        <v>3.57</v>
      </c>
      <c r="Q67" s="4" t="n">
        <v>4.7</v>
      </c>
      <c r="U67" s="26" t="n"/>
      <c r="V67" s="26" t="n"/>
      <c r="W67" s="26" t="n"/>
    </row>
    <row r="68" ht="15.75" customHeight="1" s="76" thickBot="1">
      <c r="A68" s="5" t="n"/>
      <c r="B68" s="6" t="n"/>
      <c r="C68" s="7">
        <f>SUM(C39:C67)</f>
        <v/>
      </c>
      <c r="D68" s="7">
        <f>SUM(D39:D67)</f>
        <v/>
      </c>
      <c r="E68" s="8">
        <f>SUM(E39:E67)</f>
        <v/>
      </c>
      <c r="F68" s="21" t="n"/>
      <c r="G68" s="3" t="n">
        <v>49683</v>
      </c>
      <c r="H68" s="1" t="inlineStr">
        <is>
          <t>USD</t>
        </is>
      </c>
      <c r="I68" s="2" t="n">
        <v>0.57</v>
      </c>
      <c r="J68" s="2" t="n">
        <v>4.55</v>
      </c>
      <c r="K68" s="4" t="n">
        <v>5.12</v>
      </c>
      <c r="L68" s="21" t="n"/>
      <c r="M68" s="3" t="n">
        <v>49683</v>
      </c>
      <c r="N68" s="1" t="inlineStr">
        <is>
          <t>USD</t>
        </is>
      </c>
      <c r="O68" s="2" t="n">
        <v>1.04</v>
      </c>
      <c r="P68" s="2" t="n">
        <v>3.57</v>
      </c>
      <c r="Q68" s="4" t="n">
        <v>4.61</v>
      </c>
      <c r="U68" s="26" t="n"/>
      <c r="V68" s="26" t="n"/>
      <c r="W68" s="26" t="n"/>
    </row>
    <row r="69" ht="15.75" customHeight="1" s="76" thickBot="1">
      <c r="B69" s="21" t="n"/>
      <c r="F69" s="21" t="n"/>
      <c r="G69" s="3" t="n">
        <v>49865</v>
      </c>
      <c r="H69" s="1" t="inlineStr">
        <is>
          <t>USD</t>
        </is>
      </c>
      <c r="I69" s="2" t="n">
        <v>0.45</v>
      </c>
      <c r="J69" s="2" t="n">
        <v>4.55</v>
      </c>
      <c r="K69" s="4" t="n">
        <v>5</v>
      </c>
      <c r="L69" s="21" t="n"/>
      <c r="M69" s="3" t="n">
        <v>49865</v>
      </c>
      <c r="N69" s="1" t="inlineStr">
        <is>
          <t>USD</t>
        </is>
      </c>
      <c r="O69" s="2" t="n">
        <v>0.96</v>
      </c>
      <c r="P69" s="2" t="n">
        <v>3.57</v>
      </c>
      <c r="Q69" s="4" t="n">
        <v>4.53</v>
      </c>
      <c r="U69" s="26" t="n"/>
      <c r="V69" s="26" t="n"/>
      <c r="W69" s="26" t="n"/>
    </row>
    <row r="70" ht="15.75" customHeight="1" s="76" thickBot="1">
      <c r="B70" s="21" t="n"/>
      <c r="F70" s="21" t="n"/>
      <c r="G70" s="3" t="n">
        <v>50049</v>
      </c>
      <c r="H70" s="1" t="inlineStr">
        <is>
          <t>USD</t>
        </is>
      </c>
      <c r="I70" s="2" t="n">
        <v>0.34</v>
      </c>
      <c r="J70" s="2" t="n">
        <v>4.55</v>
      </c>
      <c r="K70" s="4" t="n">
        <v>4.89</v>
      </c>
      <c r="L70" s="21" t="n"/>
      <c r="M70" s="3" t="n">
        <v>50049</v>
      </c>
      <c r="N70" s="1" t="inlineStr">
        <is>
          <t>USD</t>
        </is>
      </c>
      <c r="O70" s="2" t="n">
        <v>0.87</v>
      </c>
      <c r="P70" s="2" t="n">
        <v>3.57</v>
      </c>
      <c r="Q70" s="4" t="n">
        <v>4.44</v>
      </c>
      <c r="U70" s="26" t="n"/>
      <c r="V70" s="26" t="n"/>
      <c r="W70" s="26" t="n"/>
    </row>
    <row r="71" ht="15.75" customHeight="1" s="76" thickBot="1">
      <c r="B71" s="21" t="n"/>
      <c r="F71" s="21" t="n"/>
      <c r="G71" s="3" t="n">
        <v>50230</v>
      </c>
      <c r="H71" s="1" t="inlineStr">
        <is>
          <t>USD</t>
        </is>
      </c>
      <c r="I71" s="2" t="n">
        <v>0.23</v>
      </c>
      <c r="J71" s="2" t="n">
        <v>4.55</v>
      </c>
      <c r="K71" s="4" t="n">
        <v>4.78</v>
      </c>
      <c r="L71" s="21" t="n"/>
      <c r="M71" s="3" t="n">
        <v>50230</v>
      </c>
      <c r="N71" s="1" t="inlineStr">
        <is>
          <t>USD</t>
        </is>
      </c>
      <c r="O71" s="2" t="n">
        <v>0.78</v>
      </c>
      <c r="P71" s="2" t="n">
        <v>3.57</v>
      </c>
      <c r="Q71" s="4" t="n">
        <v>4.35</v>
      </c>
      <c r="U71" s="26" t="n"/>
      <c r="V71" s="26" t="n"/>
      <c r="W71" s="26" t="n"/>
    </row>
    <row r="72" ht="15.75" customHeight="1" s="76" thickBot="1">
      <c r="B72" s="21" t="n"/>
      <c r="F72" s="21" t="n"/>
      <c r="G72" s="3" t="n">
        <v>50414</v>
      </c>
      <c r="H72" s="1" t="inlineStr">
        <is>
          <t>USD</t>
        </is>
      </c>
      <c r="I72" s="2" t="n">
        <v>0.11</v>
      </c>
      <c r="J72" s="2" t="n">
        <v>4.55</v>
      </c>
      <c r="K72" s="4" t="n">
        <v>4.66</v>
      </c>
      <c r="L72" s="21" t="n"/>
      <c r="M72" s="3" t="n">
        <v>50414</v>
      </c>
      <c r="N72" s="1" t="inlineStr">
        <is>
          <t>USD</t>
        </is>
      </c>
      <c r="O72" s="2" t="n">
        <v>0.7</v>
      </c>
      <c r="P72" s="2" t="n">
        <v>3.57</v>
      </c>
      <c r="Q72" s="4" t="n">
        <v>4.27</v>
      </c>
      <c r="U72" s="26" t="n"/>
      <c r="V72" s="26" t="n"/>
      <c r="W72" s="26" t="n"/>
    </row>
    <row r="73" ht="15.75" customHeight="1" s="76" thickBot="1">
      <c r="B73" s="21" t="n"/>
      <c r="F73" s="21" t="n"/>
      <c r="G73" s="5" t="n"/>
      <c r="H73" s="10" t="n"/>
      <c r="I73" s="7">
        <f>SUM(I39:I72)</f>
        <v/>
      </c>
      <c r="J73" s="7">
        <f>SUM(J39:J72)</f>
        <v/>
      </c>
      <c r="K73" s="8">
        <f>SUM(K39:K72)</f>
        <v/>
      </c>
      <c r="L73" s="21" t="n"/>
      <c r="M73" s="3" t="n">
        <v>50595</v>
      </c>
      <c r="N73" s="1" t="inlineStr">
        <is>
          <t>USD</t>
        </is>
      </c>
      <c r="O73" s="2" t="n">
        <v>0.61</v>
      </c>
      <c r="P73" s="2" t="n">
        <v>3.57</v>
      </c>
      <c r="Q73" s="4" t="n">
        <v>4.18</v>
      </c>
      <c r="U73" s="26" t="n"/>
      <c r="V73" s="26" t="n"/>
      <c r="W73" s="26" t="n"/>
    </row>
    <row r="74" ht="15.75" customHeight="1" s="76" thickBot="1">
      <c r="B74" s="21" t="n"/>
      <c r="F74" s="21" t="n"/>
      <c r="L74" s="21" t="n"/>
      <c r="M74" s="3" t="n">
        <v>50779</v>
      </c>
      <c r="N74" s="1" t="inlineStr">
        <is>
          <t>USD</t>
        </is>
      </c>
      <c r="O74" s="2" t="n">
        <v>0.52</v>
      </c>
      <c r="P74" s="2" t="n">
        <v>3.57</v>
      </c>
      <c r="Q74" s="4" t="n">
        <v>4.09</v>
      </c>
      <c r="U74" s="26" t="n"/>
      <c r="V74" s="26" t="n"/>
      <c r="W74" s="26" t="n"/>
    </row>
    <row r="75" ht="15.75" customHeight="1" s="76" thickBot="1">
      <c r="B75" s="21" t="n"/>
      <c r="F75" s="21" t="n"/>
      <c r="L75" s="21" t="n"/>
      <c r="M75" s="3" t="n">
        <v>50960</v>
      </c>
      <c r="N75" s="1" t="inlineStr">
        <is>
          <t>USD</t>
        </is>
      </c>
      <c r="O75" s="2" t="n">
        <v>0.44</v>
      </c>
      <c r="P75" s="2" t="n">
        <v>3.57</v>
      </c>
      <c r="Q75" s="4" t="n">
        <v>4.01</v>
      </c>
      <c r="U75" s="26" t="n"/>
      <c r="V75" s="26" t="n"/>
      <c r="W75" s="26" t="n"/>
    </row>
    <row r="76" ht="15.75" customHeight="1" s="76" thickBot="1">
      <c r="B76" s="21" t="n"/>
      <c r="F76" s="21" t="n"/>
      <c r="L76" s="21" t="n"/>
      <c r="M76" s="3" t="n">
        <v>51144</v>
      </c>
      <c r="N76" s="1" t="inlineStr">
        <is>
          <t>USD</t>
        </is>
      </c>
      <c r="O76" s="2" t="n">
        <v>0.35</v>
      </c>
      <c r="P76" s="2" t="n">
        <v>3.57</v>
      </c>
      <c r="Q76" s="4" t="n">
        <v>3.92</v>
      </c>
    </row>
    <row r="77" ht="15.75" customHeight="1" s="76" thickBot="1">
      <c r="B77" s="21" t="n"/>
      <c r="F77" s="21" t="n"/>
      <c r="L77" s="21" t="n"/>
      <c r="M77" s="3" t="n">
        <v>51326</v>
      </c>
      <c r="N77" s="1" t="inlineStr">
        <is>
          <t>USD</t>
        </is>
      </c>
      <c r="O77" s="2" t="n">
        <v>0.26</v>
      </c>
      <c r="P77" s="2" t="n">
        <v>3.57</v>
      </c>
      <c r="Q77" s="4" t="n">
        <v>3.83</v>
      </c>
    </row>
    <row r="78" ht="15.75" customHeight="1" s="76" thickBot="1">
      <c r="B78" s="21" t="n"/>
      <c r="F78" s="21" t="n"/>
      <c r="L78" s="21" t="n"/>
      <c r="M78" s="3" t="n">
        <v>51510</v>
      </c>
      <c r="N78" s="1" t="inlineStr">
        <is>
          <t>USD</t>
        </is>
      </c>
      <c r="O78" s="2" t="n">
        <v>0.17</v>
      </c>
      <c r="P78" s="2" t="n">
        <v>3.57</v>
      </c>
      <c r="Q78" s="4" t="n">
        <v>3.74</v>
      </c>
    </row>
    <row r="79" ht="15.75" customHeight="1" s="76" thickBot="1">
      <c r="B79" s="21" t="n"/>
      <c r="F79" s="21" t="n"/>
      <c r="L79" s="21" t="n"/>
      <c r="M79" s="3" t="n">
        <v>51691</v>
      </c>
      <c r="N79" s="1" t="inlineStr">
        <is>
          <t>USD</t>
        </is>
      </c>
      <c r="O79" s="2" t="n">
        <v>0.09</v>
      </c>
      <c r="P79" s="2" t="n">
        <v>3.57</v>
      </c>
      <c r="Q79" s="4" t="n">
        <v>3.66</v>
      </c>
    </row>
    <row r="80" ht="15.75" customHeight="1" s="76" thickBot="1">
      <c r="B80" s="21" t="n"/>
      <c r="M80" s="5" t="n"/>
      <c r="N80" s="10" t="n"/>
      <c r="O80" s="7">
        <f>SUM(O39:O79)</f>
        <v/>
      </c>
      <c r="P80" s="7">
        <f>SUM(P39:P79)</f>
        <v/>
      </c>
      <c r="Q80" s="8">
        <f>SUM(Q39:Q79)</f>
        <v/>
      </c>
    </row>
    <row r="81">
      <c r="B81" s="21" t="n"/>
    </row>
    <row r="82">
      <c r="B82" s="21" t="n"/>
    </row>
    <row r="83">
      <c r="B83" s="21" t="n"/>
    </row>
    <row r="84">
      <c r="B84" s="21" t="n"/>
      <c r="M84" s="21" t="n"/>
    </row>
    <row r="85">
      <c r="A85" s="22" t="n"/>
      <c r="B85" s="23" t="n"/>
      <c r="D85" s="21" t="n"/>
      <c r="E85" s="21" t="n"/>
      <c r="F85" s="21" t="n"/>
      <c r="G85" s="21" t="n"/>
      <c r="H85" s="21" t="n"/>
      <c r="I85" s="21" t="n"/>
      <c r="J85" s="21" t="n"/>
      <c r="K85" s="21" t="n"/>
      <c r="L85" s="21" t="n"/>
    </row>
    <row r="86">
      <c r="A86" s="22" t="n"/>
      <c r="B86" s="23" t="n"/>
      <c r="D86" s="21" t="n"/>
      <c r="E86" s="21" t="n"/>
      <c r="F86" s="21" t="n"/>
      <c r="G86" s="21" t="n"/>
      <c r="H86" s="21" t="n"/>
      <c r="I86" s="21" t="n"/>
      <c r="J86" s="21" t="n"/>
      <c r="K86" s="21" t="n"/>
      <c r="L86" s="21" t="n"/>
    </row>
    <row r="87">
      <c r="A87" s="22" t="n"/>
      <c r="B87" s="23" t="n"/>
      <c r="D87" s="21" t="n"/>
      <c r="E87" s="21" t="n"/>
      <c r="F87" s="21" t="n"/>
      <c r="G87" s="21" t="n"/>
      <c r="H87" s="21" t="n"/>
      <c r="I87" s="21" t="n"/>
      <c r="J87" s="21" t="n"/>
      <c r="K87" s="21" t="n"/>
      <c r="L87" s="21" t="n"/>
    </row>
    <row r="88">
      <c r="A88" s="22" t="n"/>
      <c r="B88" s="23" t="n"/>
      <c r="D88" s="21" t="n"/>
      <c r="E88" s="21" t="n"/>
      <c r="F88" s="21" t="n"/>
      <c r="G88" s="21" t="n"/>
      <c r="H88" s="21" t="n"/>
      <c r="I88" s="21" t="n"/>
      <c r="J88" s="21" t="n"/>
      <c r="K88" s="21" t="n"/>
      <c r="L88" s="21" t="n"/>
    </row>
    <row r="89">
      <c r="A89" s="22" t="n"/>
      <c r="B89" s="23" t="n"/>
      <c r="D89" s="21" t="n"/>
      <c r="E89" s="21" t="n"/>
      <c r="F89" s="21" t="n"/>
      <c r="G89" s="21" t="n"/>
      <c r="H89" s="21" t="n"/>
      <c r="I89" s="21" t="n"/>
      <c r="J89" s="21" t="n"/>
      <c r="K89" s="21" t="n"/>
      <c r="L89" s="21" t="n"/>
    </row>
    <row r="90">
      <c r="A90" s="24" t="n"/>
      <c r="B90" s="21" t="n"/>
      <c r="C90" s="21" t="n"/>
      <c r="D90" s="21" t="n"/>
      <c r="E90" s="21" t="n"/>
      <c r="F90" s="21" t="n"/>
      <c r="G90" s="21" t="n"/>
      <c r="H90" s="21" t="n"/>
      <c r="I90" s="21" t="n"/>
      <c r="J90" s="21" t="n"/>
      <c r="K90" s="21" t="n"/>
      <c r="L90" s="21" t="n"/>
    </row>
    <row r="91">
      <c r="B91" s="21" t="n"/>
      <c r="C91" s="21" t="n"/>
      <c r="D91" s="21" t="n"/>
      <c r="E91" s="21" t="n"/>
      <c r="F91" s="21" t="n"/>
      <c r="G91" s="21" t="n"/>
      <c r="H91" s="21" t="n"/>
      <c r="I91" s="21" t="n"/>
      <c r="J91" s="21" t="n"/>
      <c r="K91" s="21" t="n"/>
      <c r="L91" s="21" t="n"/>
    </row>
    <row r="92">
      <c r="B92" s="21" t="n"/>
      <c r="F92" s="21" t="n"/>
      <c r="G92" s="21" t="n"/>
      <c r="H92" s="21" t="n"/>
      <c r="I92" s="21" t="n"/>
      <c r="J92" s="21" t="n"/>
      <c r="K92" s="21" t="n"/>
      <c r="L92" s="21" t="n"/>
    </row>
    <row r="93">
      <c r="B93" s="21" t="n"/>
      <c r="F93" s="21" t="n"/>
      <c r="G93" s="21" t="n"/>
      <c r="H93" s="21" t="n"/>
      <c r="I93" s="21" t="n"/>
      <c r="J93" s="21" t="n"/>
      <c r="K93" s="21" t="n"/>
      <c r="L93" s="21" t="n"/>
    </row>
    <row r="94">
      <c r="B94" s="21" t="n"/>
      <c r="F94" s="21" t="n"/>
      <c r="G94" s="21" t="n"/>
      <c r="H94" s="21" t="n"/>
      <c r="I94" s="21" t="n"/>
      <c r="J94" s="21" t="n"/>
      <c r="K94" s="21" t="n"/>
      <c r="L94" s="21" t="n"/>
    </row>
    <row r="95">
      <c r="B95" s="21" t="n"/>
      <c r="F95" s="21" t="n"/>
      <c r="G95" s="21" t="n"/>
      <c r="H95" s="21" t="n"/>
      <c r="I95" s="21" t="n"/>
      <c r="J95" s="21" t="n"/>
      <c r="K95" s="21" t="n"/>
      <c r="L95" s="21" t="n"/>
    </row>
    <row r="96">
      <c r="B96" s="21" t="n"/>
      <c r="F96" s="21" t="n"/>
      <c r="G96" s="21" t="n"/>
      <c r="H96" s="21" t="n"/>
      <c r="I96" s="21" t="n"/>
      <c r="J96" s="21" t="n"/>
      <c r="K96" s="21" t="n"/>
      <c r="L96" s="21" t="n"/>
    </row>
    <row r="97">
      <c r="B97" s="21" t="n"/>
      <c r="F97" s="21" t="n"/>
      <c r="G97" s="21" t="n"/>
      <c r="H97" s="21" t="n"/>
      <c r="I97" s="21" t="n"/>
      <c r="J97" s="21" t="n"/>
      <c r="K97" s="21" t="n"/>
      <c r="L97" s="21" t="n"/>
    </row>
    <row r="98">
      <c r="B98" s="21" t="n"/>
      <c r="F98" s="21" t="n"/>
      <c r="G98" s="21" t="n"/>
      <c r="H98" s="21" t="n"/>
      <c r="I98" s="21" t="n"/>
      <c r="J98" s="21" t="n"/>
      <c r="K98" s="21" t="n"/>
      <c r="L98" s="21" t="n"/>
    </row>
    <row r="99">
      <c r="B99" s="21" t="n"/>
      <c r="F99" s="21" t="n"/>
      <c r="G99" s="21" t="n"/>
      <c r="H99" s="21" t="n"/>
      <c r="I99" s="21" t="n"/>
      <c r="J99" s="21" t="n"/>
      <c r="K99" s="21" t="n"/>
      <c r="L99" s="21" t="n"/>
    </row>
    <row r="100">
      <c r="B100" s="21" t="n"/>
      <c r="F100" s="21" t="n"/>
      <c r="G100" s="21" t="n"/>
      <c r="H100" s="21" t="n"/>
      <c r="I100" s="21" t="n"/>
      <c r="J100" s="21" t="n"/>
      <c r="K100" s="21" t="n"/>
      <c r="L100" s="21" t="n"/>
    </row>
    <row r="101">
      <c r="B101" s="21" t="n"/>
      <c r="F101" s="21" t="n"/>
      <c r="G101" s="21" t="n"/>
      <c r="H101" s="21" t="n"/>
      <c r="I101" s="21" t="n"/>
      <c r="J101" s="21" t="n"/>
      <c r="K101" s="21" t="n"/>
      <c r="L101" s="21" t="n"/>
    </row>
    <row r="102">
      <c r="B102" s="21" t="n"/>
      <c r="F102" s="21" t="n"/>
      <c r="G102" s="21" t="n"/>
      <c r="H102" s="21" t="n"/>
      <c r="I102" s="21" t="n"/>
      <c r="J102" s="21" t="n"/>
      <c r="K102" s="21" t="n"/>
      <c r="L102" s="21" t="n"/>
    </row>
    <row r="103">
      <c r="B103" s="21" t="n"/>
      <c r="F103" s="21" t="n"/>
      <c r="G103" s="21" t="n"/>
      <c r="H103" s="21" t="n"/>
      <c r="I103" s="21" t="n"/>
      <c r="J103" s="21" t="n"/>
      <c r="K103" s="21" t="n"/>
      <c r="L103" s="21" t="n"/>
    </row>
    <row r="104">
      <c r="B104" s="21" t="n"/>
      <c r="F104" s="21" t="n"/>
      <c r="G104" s="21" t="n"/>
      <c r="H104" s="21" t="n"/>
      <c r="I104" s="21" t="n"/>
      <c r="J104" s="21" t="n"/>
      <c r="K104" s="21" t="n"/>
      <c r="L104" s="21" t="n"/>
    </row>
    <row r="105">
      <c r="B105" s="21" t="n"/>
      <c r="F105" s="21" t="n"/>
      <c r="G105" s="21" t="n"/>
      <c r="H105" s="21" t="n"/>
      <c r="I105" s="21" t="n"/>
      <c r="J105" s="21" t="n"/>
      <c r="K105" s="21" t="n"/>
      <c r="L105" s="21" t="n"/>
    </row>
    <row r="106">
      <c r="B106" s="21" t="n"/>
      <c r="F106" s="21" t="n"/>
      <c r="G106" s="21" t="n"/>
      <c r="H106" s="21" t="n"/>
      <c r="I106" s="21" t="n"/>
      <c r="J106" s="21" t="n"/>
      <c r="K106" s="21" t="n"/>
      <c r="L106" s="21" t="n"/>
    </row>
    <row r="107">
      <c r="B107" s="21" t="n"/>
      <c r="F107" s="21" t="n"/>
      <c r="G107" s="21" t="n"/>
      <c r="H107" s="21" t="n"/>
      <c r="I107" s="21" t="n"/>
      <c r="J107" s="21" t="n"/>
      <c r="K107" s="21" t="n"/>
      <c r="L107" s="21" t="n"/>
    </row>
    <row r="108">
      <c r="B108" s="21" t="n"/>
    </row>
    <row r="109">
      <c r="B109" s="21" t="n"/>
    </row>
    <row r="110">
      <c r="B110" s="21" t="n"/>
    </row>
    <row r="111">
      <c r="B111" s="21" t="n"/>
    </row>
    <row r="112">
      <c r="B112" s="21" t="n"/>
    </row>
    <row r="113">
      <c r="B113" s="21" t="n"/>
    </row>
    <row r="114">
      <c r="B114" s="21" t="n"/>
    </row>
    <row r="115">
      <c r="B115" s="21" t="n"/>
    </row>
  </sheetData>
  <pageMargins left="0.7" right="0.7" top="0.75" bottom="0.75" header="0.3" footer="0.3"/>
  <pageSetup orientation="portrait" paperSize="9" horizontalDpi="300" verticalDpi="300"/>
</worksheet>
</file>

<file path=xl/worksheets/sheet3.xml><?xml version="1.0" encoding="utf-8"?>
<worksheet xmlns="http://schemas.openxmlformats.org/spreadsheetml/2006/main">
  <sheetPr codeName="Hoja6">
    <outlinePr summaryBelow="1" summaryRight="1"/>
    <pageSetUpPr/>
  </sheetPr>
  <dimension ref="A1:A246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5.140625" bestFit="1" customWidth="1" style="76" min="2" max="2"/>
  </cols>
  <sheetData>
    <row r="1">
      <c r="A1" s="35" t="inlineStr">
        <is>
          <t>Etiquetas de fila</t>
        </is>
      </c>
    </row>
    <row r="2">
      <c r="A2" s="36" t="n">
        <v>44098</v>
      </c>
    </row>
    <row r="3">
      <c r="A3" s="36" t="n">
        <v>44099</v>
      </c>
    </row>
    <row r="4">
      <c r="A4" s="36" t="n">
        <v>44102</v>
      </c>
    </row>
    <row r="5">
      <c r="A5" s="36" t="n">
        <v>44103</v>
      </c>
    </row>
    <row r="6">
      <c r="A6" s="36" t="n">
        <v>44104</v>
      </c>
    </row>
    <row r="7">
      <c r="A7" s="36" t="n">
        <v>44105</v>
      </c>
    </row>
    <row r="8">
      <c r="A8" s="36" t="n">
        <v>44106</v>
      </c>
    </row>
    <row r="9">
      <c r="A9" s="36" t="n">
        <v>44109</v>
      </c>
    </row>
    <row r="10">
      <c r="A10" s="36" t="n">
        <v>44110</v>
      </c>
    </row>
    <row r="11">
      <c r="A11" s="36" t="n">
        <v>44111</v>
      </c>
    </row>
    <row r="12">
      <c r="A12" s="36" t="n">
        <v>44112</v>
      </c>
    </row>
    <row r="13">
      <c r="A13" s="36" t="n">
        <v>44113</v>
      </c>
    </row>
    <row r="14">
      <c r="A14" s="36" t="n">
        <v>44117</v>
      </c>
    </row>
    <row r="15">
      <c r="A15" s="36" t="n">
        <v>44118</v>
      </c>
    </row>
    <row r="16">
      <c r="A16" s="36" t="n">
        <v>44119</v>
      </c>
    </row>
    <row r="17">
      <c r="A17" s="36" t="n">
        <v>44120</v>
      </c>
    </row>
    <row r="18">
      <c r="A18" s="36" t="n">
        <v>44123</v>
      </c>
    </row>
    <row r="19">
      <c r="A19" s="36" t="n">
        <v>44124</v>
      </c>
    </row>
    <row r="20">
      <c r="A20" s="36" t="n">
        <v>44125</v>
      </c>
    </row>
    <row r="21">
      <c r="A21" s="36" t="n">
        <v>44126</v>
      </c>
    </row>
    <row r="22">
      <c r="A22" s="36" t="n">
        <v>44127</v>
      </c>
    </row>
    <row r="23">
      <c r="A23" s="36" t="n">
        <v>44130</v>
      </c>
    </row>
    <row r="24">
      <c r="A24" s="36" t="n">
        <v>44131</v>
      </c>
    </row>
    <row r="25">
      <c r="A25" s="36" t="n">
        <v>44132</v>
      </c>
    </row>
    <row r="26">
      <c r="A26" s="36" t="n">
        <v>44133</v>
      </c>
    </row>
    <row r="27">
      <c r="A27" s="36" t="n">
        <v>44134</v>
      </c>
    </row>
    <row r="28">
      <c r="A28" s="36" t="n">
        <v>44137</v>
      </c>
    </row>
    <row r="29">
      <c r="A29" s="36" t="n">
        <v>44138</v>
      </c>
    </row>
    <row r="30">
      <c r="A30" s="36" t="n">
        <v>44139</v>
      </c>
    </row>
    <row r="31">
      <c r="A31" s="36" t="n">
        <v>44140</v>
      </c>
    </row>
    <row r="32">
      <c r="A32" s="36" t="n">
        <v>44141</v>
      </c>
    </row>
    <row r="33">
      <c r="A33" s="36" t="n">
        <v>44144</v>
      </c>
    </row>
    <row r="34">
      <c r="A34" s="36" t="n">
        <v>44145</v>
      </c>
    </row>
    <row r="35">
      <c r="A35" s="36" t="n">
        <v>44146</v>
      </c>
    </row>
    <row r="36">
      <c r="A36" s="36" t="n">
        <v>44147</v>
      </c>
    </row>
    <row r="37">
      <c r="A37" s="36" t="n">
        <v>44148</v>
      </c>
    </row>
    <row r="38">
      <c r="A38" s="36" t="n">
        <v>44151</v>
      </c>
    </row>
    <row r="39">
      <c r="A39" s="36" t="n">
        <v>44152</v>
      </c>
    </row>
    <row r="40">
      <c r="A40" s="36" t="n">
        <v>44153</v>
      </c>
    </row>
    <row r="41">
      <c r="A41" s="36" t="n">
        <v>44154</v>
      </c>
    </row>
    <row r="42">
      <c r="A42" s="36" t="n">
        <v>44155</v>
      </c>
    </row>
    <row r="43">
      <c r="A43" s="36" t="n">
        <v>44159</v>
      </c>
    </row>
    <row r="44">
      <c r="A44" s="36" t="n">
        <v>44160</v>
      </c>
    </row>
    <row r="45">
      <c r="A45" s="36" t="n">
        <v>44161</v>
      </c>
    </row>
    <row r="46">
      <c r="A46" s="36" t="n">
        <v>44162</v>
      </c>
    </row>
    <row r="47">
      <c r="A47" s="36" t="n">
        <v>44165</v>
      </c>
    </row>
    <row r="48">
      <c r="A48" s="36" t="n">
        <v>44166</v>
      </c>
    </row>
    <row r="49">
      <c r="A49" s="36" t="n">
        <v>44167</v>
      </c>
    </row>
    <row r="50">
      <c r="A50" s="36" t="n">
        <v>44168</v>
      </c>
    </row>
    <row r="51">
      <c r="A51" s="36" t="n">
        <v>44169</v>
      </c>
    </row>
    <row r="52">
      <c r="A52" s="36" t="n">
        <v>44174</v>
      </c>
    </row>
    <row r="53">
      <c r="A53" s="36" t="n">
        <v>44175</v>
      </c>
    </row>
    <row r="54">
      <c r="A54" s="36" t="n">
        <v>44176</v>
      </c>
    </row>
    <row r="55">
      <c r="A55" s="36" t="n">
        <v>44179</v>
      </c>
    </row>
    <row r="56">
      <c r="A56" s="36" t="n">
        <v>44180</v>
      </c>
    </row>
    <row r="57">
      <c r="A57" s="36" t="n">
        <v>44181</v>
      </c>
    </row>
    <row r="58">
      <c r="A58" s="36" t="n">
        <v>44182</v>
      </c>
    </row>
    <row r="59">
      <c r="A59" s="36" t="n">
        <v>44183</v>
      </c>
    </row>
    <row r="60">
      <c r="A60" s="36" t="n">
        <v>44186</v>
      </c>
    </row>
    <row r="61">
      <c r="A61" s="36" t="n">
        <v>44187</v>
      </c>
    </row>
    <row r="62">
      <c r="A62" s="36" t="n">
        <v>44188</v>
      </c>
    </row>
    <row r="63">
      <c r="A63" s="36" t="n">
        <v>44193</v>
      </c>
    </row>
    <row r="64">
      <c r="A64" s="36" t="n">
        <v>44194</v>
      </c>
    </row>
    <row r="65">
      <c r="A65" s="36" t="n">
        <v>44195</v>
      </c>
    </row>
    <row r="66">
      <c r="A66" s="36" t="n">
        <v>44200</v>
      </c>
    </row>
    <row r="67">
      <c r="A67" s="36" t="n">
        <v>44201</v>
      </c>
    </row>
    <row r="68">
      <c r="A68" s="36" t="n">
        <v>44202</v>
      </c>
    </row>
    <row r="69">
      <c r="A69" s="36" t="n">
        <v>44203</v>
      </c>
    </row>
    <row r="70">
      <c r="A70" s="36" t="n">
        <v>44204</v>
      </c>
    </row>
    <row r="71">
      <c r="A71" s="36" t="n">
        <v>44207</v>
      </c>
    </row>
    <row r="72">
      <c r="A72" s="36" t="n">
        <v>44208</v>
      </c>
    </row>
    <row r="73">
      <c r="A73" s="36" t="n">
        <v>44209</v>
      </c>
    </row>
    <row r="74">
      <c r="A74" s="36" t="n">
        <v>44210</v>
      </c>
    </row>
    <row r="75">
      <c r="A75" s="36" t="n">
        <v>44211</v>
      </c>
    </row>
    <row r="76">
      <c r="A76" s="36" t="n">
        <v>44214</v>
      </c>
    </row>
    <row r="77">
      <c r="A77" s="36" t="n">
        <v>44215</v>
      </c>
    </row>
    <row r="78">
      <c r="A78" s="36" t="n">
        <v>44216</v>
      </c>
    </row>
    <row r="79">
      <c r="A79" s="36" t="n">
        <v>44217</v>
      </c>
    </row>
    <row r="80">
      <c r="A80" s="36" t="n">
        <v>44218</v>
      </c>
    </row>
    <row r="81">
      <c r="A81" s="36" t="n">
        <v>44221</v>
      </c>
    </row>
    <row r="82">
      <c r="A82" s="36" t="n">
        <v>44222</v>
      </c>
    </row>
    <row r="83">
      <c r="A83" s="36" t="n">
        <v>44223</v>
      </c>
    </row>
    <row r="84">
      <c r="A84" s="36" t="n">
        <v>44224</v>
      </c>
    </row>
    <row r="85">
      <c r="A85" s="36" t="n">
        <v>44225</v>
      </c>
    </row>
    <row r="86">
      <c r="A86" s="36" t="n">
        <v>44228</v>
      </c>
    </row>
    <row r="87">
      <c r="A87" s="36" t="n">
        <v>44229</v>
      </c>
    </row>
    <row r="88">
      <c r="A88" s="36" t="n">
        <v>44230</v>
      </c>
    </row>
    <row r="89">
      <c r="A89" s="36" t="n">
        <v>44231</v>
      </c>
    </row>
    <row r="90">
      <c r="A90" s="36" t="n">
        <v>44232</v>
      </c>
    </row>
    <row r="91">
      <c r="A91" s="36" t="n">
        <v>44235</v>
      </c>
    </row>
    <row r="92">
      <c r="A92" s="36" t="n">
        <v>44236</v>
      </c>
    </row>
    <row r="93">
      <c r="A93" s="36" t="n">
        <v>44237</v>
      </c>
    </row>
    <row r="94">
      <c r="A94" s="36" t="n">
        <v>44238</v>
      </c>
    </row>
    <row r="95">
      <c r="A95" s="36" t="n">
        <v>44239</v>
      </c>
    </row>
    <row r="96">
      <c r="A96" s="36" t="n">
        <v>44244</v>
      </c>
    </row>
    <row r="97">
      <c r="A97" s="36" t="n">
        <v>44245</v>
      </c>
    </row>
    <row r="98">
      <c r="A98" s="36" t="n">
        <v>44246</v>
      </c>
    </row>
    <row r="99">
      <c r="A99" s="36" t="n">
        <v>44249</v>
      </c>
    </row>
    <row r="100">
      <c r="A100" s="36" t="n">
        <v>44250</v>
      </c>
    </row>
    <row r="101">
      <c r="A101" s="36" t="n">
        <v>44251</v>
      </c>
    </row>
    <row r="102">
      <c r="A102" s="36" t="n">
        <v>44252</v>
      </c>
    </row>
    <row r="103">
      <c r="A103" s="36" t="n">
        <v>44253</v>
      </c>
    </row>
    <row r="104">
      <c r="A104" s="36" t="n">
        <v>44256</v>
      </c>
    </row>
    <row r="105">
      <c r="A105" s="36" t="n">
        <v>44257</v>
      </c>
    </row>
    <row r="106">
      <c r="A106" s="36" t="n">
        <v>44258</v>
      </c>
    </row>
    <row r="107">
      <c r="A107" s="36" t="n">
        <v>44259</v>
      </c>
    </row>
    <row r="108">
      <c r="A108" s="36" t="n">
        <v>44260</v>
      </c>
    </row>
    <row r="109">
      <c r="A109" s="36" t="n">
        <v>44263</v>
      </c>
    </row>
    <row r="110">
      <c r="A110" s="36" t="n">
        <v>44264</v>
      </c>
    </row>
    <row r="111">
      <c r="A111" s="36" t="n">
        <v>44265</v>
      </c>
    </row>
    <row r="112">
      <c r="A112" s="36" t="n">
        <v>44266</v>
      </c>
    </row>
    <row r="113">
      <c r="A113" s="36" t="n">
        <v>44267</v>
      </c>
    </row>
    <row r="114">
      <c r="A114" s="36" t="n">
        <v>44270</v>
      </c>
    </row>
    <row r="115">
      <c r="A115" s="36" t="n">
        <v>44271</v>
      </c>
    </row>
    <row r="116">
      <c r="A116" s="36" t="n">
        <v>44272</v>
      </c>
    </row>
    <row r="117">
      <c r="A117" s="36" t="n">
        <v>44273</v>
      </c>
    </row>
    <row r="118">
      <c r="A118" s="36" t="n">
        <v>44274</v>
      </c>
    </row>
    <row r="119">
      <c r="A119" s="36" t="n">
        <v>44277</v>
      </c>
    </row>
    <row r="120">
      <c r="A120" s="36" t="n">
        <v>44278</v>
      </c>
    </row>
    <row r="121">
      <c r="A121" s="36" t="n">
        <v>44280</v>
      </c>
    </row>
    <row r="122">
      <c r="A122" s="36" t="n">
        <v>44281</v>
      </c>
    </row>
    <row r="123">
      <c r="A123" s="36" t="n">
        <v>44284</v>
      </c>
    </row>
    <row r="124">
      <c r="A124" s="36" t="n">
        <v>44285</v>
      </c>
    </row>
    <row r="125">
      <c r="A125" s="36" t="n">
        <v>44286</v>
      </c>
    </row>
    <row r="126">
      <c r="A126" s="36" t="n">
        <v>44291</v>
      </c>
    </row>
    <row r="127">
      <c r="A127" s="36" t="n">
        <v>44292</v>
      </c>
    </row>
    <row r="128">
      <c r="A128" s="36" t="n">
        <v>44293</v>
      </c>
    </row>
    <row r="129">
      <c r="A129" s="36" t="n">
        <v>44294</v>
      </c>
    </row>
    <row r="130">
      <c r="A130" s="36" t="n">
        <v>44295</v>
      </c>
    </row>
    <row r="131">
      <c r="A131" s="36" t="n">
        <v>44298</v>
      </c>
    </row>
    <row r="132">
      <c r="A132" s="36" t="n">
        <v>44299</v>
      </c>
    </row>
    <row r="133">
      <c r="A133" s="36" t="n">
        <v>44300</v>
      </c>
    </row>
    <row r="134">
      <c r="A134" s="36" t="n">
        <v>44301</v>
      </c>
    </row>
    <row r="135">
      <c r="A135" s="36" t="n">
        <v>44302</v>
      </c>
    </row>
    <row r="136">
      <c r="A136" s="36" t="n">
        <v>44305</v>
      </c>
    </row>
    <row r="137">
      <c r="A137" s="36" t="n">
        <v>44306</v>
      </c>
    </row>
    <row r="138">
      <c r="A138" s="36" t="n">
        <v>44307</v>
      </c>
    </row>
    <row r="139">
      <c r="A139" s="36" t="n">
        <v>44308</v>
      </c>
    </row>
    <row r="140">
      <c r="A140" s="36" t="n">
        <v>44309</v>
      </c>
    </row>
    <row r="141">
      <c r="A141" s="36" t="n">
        <v>44312</v>
      </c>
    </row>
    <row r="142">
      <c r="A142" s="36" t="n">
        <v>44313</v>
      </c>
    </row>
    <row r="143">
      <c r="A143" s="36" t="n">
        <v>44314</v>
      </c>
    </row>
    <row r="144">
      <c r="A144" s="36" t="n">
        <v>44315</v>
      </c>
    </row>
    <row r="145">
      <c r="A145" s="36" t="n">
        <v>44316</v>
      </c>
    </row>
    <row r="146">
      <c r="A146" s="36" t="n">
        <v>44319</v>
      </c>
    </row>
    <row r="147">
      <c r="A147" s="36" t="n">
        <v>44320</v>
      </c>
    </row>
    <row r="148">
      <c r="A148" s="36" t="n">
        <v>44321</v>
      </c>
    </row>
    <row r="149">
      <c r="A149" s="36" t="n">
        <v>44322</v>
      </c>
    </row>
    <row r="150">
      <c r="A150" s="36" t="n">
        <v>44323</v>
      </c>
    </row>
    <row r="151">
      <c r="A151" s="36" t="n">
        <v>44326</v>
      </c>
    </row>
    <row r="152">
      <c r="A152" s="36" t="n">
        <v>44327</v>
      </c>
    </row>
    <row r="153">
      <c r="A153" s="36" t="n">
        <v>44328</v>
      </c>
    </row>
    <row r="154">
      <c r="A154" s="36" t="n">
        <v>44329</v>
      </c>
    </row>
    <row r="155">
      <c r="A155" s="36" t="n">
        <v>44330</v>
      </c>
    </row>
    <row r="156">
      <c r="A156" s="36" t="n">
        <v>44333</v>
      </c>
    </row>
    <row r="157">
      <c r="A157" s="36" t="n">
        <v>44334</v>
      </c>
    </row>
    <row r="158">
      <c r="A158" s="36" t="n">
        <v>44335</v>
      </c>
    </row>
    <row r="159">
      <c r="A159" s="36" t="n">
        <v>44336</v>
      </c>
    </row>
    <row r="160">
      <c r="A160" s="36" t="n">
        <v>44337</v>
      </c>
    </row>
    <row r="161">
      <c r="A161" s="36" t="n">
        <v>44342</v>
      </c>
    </row>
    <row r="162">
      <c r="A162" s="36" t="n">
        <v>44343</v>
      </c>
    </row>
    <row r="163">
      <c r="A163" s="36" t="n">
        <v>44344</v>
      </c>
    </row>
    <row r="164">
      <c r="A164" s="36" t="n">
        <v>44347</v>
      </c>
    </row>
    <row r="165">
      <c r="A165" s="36" t="n">
        <v>44348</v>
      </c>
    </row>
    <row r="166">
      <c r="A166" s="36" t="n">
        <v>44349</v>
      </c>
    </row>
    <row r="167">
      <c r="A167" s="36" t="n">
        <v>44350</v>
      </c>
    </row>
    <row r="168">
      <c r="A168" s="36" t="n">
        <v>44351</v>
      </c>
    </row>
    <row r="169">
      <c r="A169" s="36" t="n">
        <v>44354</v>
      </c>
    </row>
    <row r="170">
      <c r="A170" s="36" t="n">
        <v>44355</v>
      </c>
    </row>
    <row r="171">
      <c r="A171" s="36" t="n">
        <v>44356</v>
      </c>
    </row>
    <row r="172">
      <c r="A172" s="36" t="n">
        <v>44357</v>
      </c>
    </row>
    <row r="173">
      <c r="A173" s="36" t="n">
        <v>44358</v>
      </c>
    </row>
    <row r="174">
      <c r="A174" s="36" t="n">
        <v>44361</v>
      </c>
    </row>
    <row r="175">
      <c r="A175" s="36" t="n">
        <v>44362</v>
      </c>
    </row>
    <row r="176">
      <c r="A176" s="36" t="n">
        <v>44363</v>
      </c>
    </row>
    <row r="177">
      <c r="A177" s="36" t="n">
        <v>44364</v>
      </c>
    </row>
    <row r="178">
      <c r="A178" s="36" t="n">
        <v>44365</v>
      </c>
    </row>
    <row r="179">
      <c r="A179" s="36" t="n">
        <v>44369</v>
      </c>
    </row>
    <row r="180">
      <c r="A180" s="36" t="n">
        <v>44370</v>
      </c>
    </row>
    <row r="181">
      <c r="A181" s="36" t="n">
        <v>44371</v>
      </c>
    </row>
    <row r="182">
      <c r="A182" s="36" t="n">
        <v>44372</v>
      </c>
    </row>
    <row r="183">
      <c r="A183" s="36" t="n">
        <v>44375</v>
      </c>
    </row>
    <row r="184">
      <c r="A184" s="36" t="n">
        <v>44376</v>
      </c>
    </row>
    <row r="185">
      <c r="A185" s="36" t="n">
        <v>44377</v>
      </c>
    </row>
    <row r="186">
      <c r="A186" s="36" t="n">
        <v>44378</v>
      </c>
    </row>
    <row r="187">
      <c r="A187" s="36" t="n">
        <v>44379</v>
      </c>
    </row>
    <row r="188">
      <c r="A188" s="36" t="n">
        <v>44382</v>
      </c>
    </row>
    <row r="189">
      <c r="A189" s="36" t="n">
        <v>44383</v>
      </c>
    </row>
    <row r="190">
      <c r="A190" s="36" t="n">
        <v>44384</v>
      </c>
    </row>
    <row r="191">
      <c r="A191" s="36" t="n">
        <v>44385</v>
      </c>
    </row>
    <row r="192">
      <c r="A192" s="36" t="n">
        <v>44389</v>
      </c>
    </row>
    <row r="193">
      <c r="A193" s="36" t="n">
        <v>44390</v>
      </c>
    </row>
    <row r="194">
      <c r="A194" s="36" t="n">
        <v>44391</v>
      </c>
    </row>
    <row r="195">
      <c r="A195" s="36" t="n">
        <v>44392</v>
      </c>
    </row>
    <row r="196">
      <c r="A196" s="36" t="n">
        <v>44393</v>
      </c>
    </row>
    <row r="197">
      <c r="A197" s="44" t="inlineStr">
        <is>
          <t>24/09/2021</t>
        </is>
      </c>
    </row>
    <row r="198">
      <c r="A198" s="44" t="inlineStr">
        <is>
          <t>23/09/2021</t>
        </is>
      </c>
    </row>
    <row r="199">
      <c r="A199" s="44" t="inlineStr">
        <is>
          <t>22/09/2021</t>
        </is>
      </c>
    </row>
    <row r="200">
      <c r="A200" s="44" t="inlineStr">
        <is>
          <t>21/09/2021</t>
        </is>
      </c>
    </row>
    <row r="201">
      <c r="A201" s="44" t="inlineStr">
        <is>
          <t>20/09/2021</t>
        </is>
      </c>
    </row>
    <row r="202">
      <c r="A202" s="44" t="inlineStr">
        <is>
          <t>17/09/2021</t>
        </is>
      </c>
    </row>
    <row r="203">
      <c r="A203" s="44" t="inlineStr">
        <is>
          <t>16/09/2021</t>
        </is>
      </c>
    </row>
    <row r="204">
      <c r="A204" s="36" t="n">
        <v>44454</v>
      </c>
    </row>
    <row r="205">
      <c r="A205" s="36" t="n">
        <v>44453</v>
      </c>
    </row>
    <row r="206">
      <c r="A206" s="36" t="n">
        <v>44452</v>
      </c>
    </row>
    <row r="207">
      <c r="A207" s="36" t="n">
        <v>44449</v>
      </c>
    </row>
    <row r="208">
      <c r="A208" s="36" t="n">
        <v>44448</v>
      </c>
    </row>
    <row r="209">
      <c r="A209" s="36" t="n">
        <v>44447</v>
      </c>
    </row>
    <row r="210">
      <c r="A210" s="36" t="n">
        <v>44446</v>
      </c>
    </row>
    <row r="211">
      <c r="A211" s="36" t="n">
        <v>44445</v>
      </c>
    </row>
    <row r="212">
      <c r="A212" s="36" t="n">
        <v>44442</v>
      </c>
    </row>
    <row r="213">
      <c r="A213" s="36" t="n">
        <v>44441</v>
      </c>
    </row>
    <row r="214">
      <c r="A214" s="36" t="n">
        <v>44440</v>
      </c>
    </row>
    <row r="215">
      <c r="A215" s="36" t="n">
        <v>44439</v>
      </c>
    </row>
    <row r="216">
      <c r="A216" s="36" t="n">
        <v>44438</v>
      </c>
    </row>
    <row r="217">
      <c r="A217" s="36" t="n">
        <v>44435</v>
      </c>
    </row>
    <row r="218">
      <c r="A218" s="36" t="n">
        <v>44434</v>
      </c>
    </row>
    <row r="219">
      <c r="A219" s="36" t="n">
        <v>44433</v>
      </c>
    </row>
    <row r="220">
      <c r="A220" s="36" t="n">
        <v>44432</v>
      </c>
    </row>
    <row r="221">
      <c r="A221" s="36" t="n">
        <v>44431</v>
      </c>
    </row>
    <row r="222">
      <c r="A222" s="36" t="n">
        <v>44428</v>
      </c>
    </row>
    <row r="223">
      <c r="A223" s="36" t="n">
        <v>44427</v>
      </c>
    </row>
    <row r="224">
      <c r="A224" s="36" t="n">
        <v>44426</v>
      </c>
    </row>
    <row r="225">
      <c r="A225" s="36" t="n">
        <v>44425</v>
      </c>
    </row>
    <row r="226">
      <c r="A226" s="36" t="n">
        <v>44421</v>
      </c>
    </row>
    <row r="227">
      <c r="A227" s="36" t="n">
        <v>44420</v>
      </c>
    </row>
    <row r="228">
      <c r="A228" s="36" t="n">
        <v>44419</v>
      </c>
    </row>
    <row r="229">
      <c r="A229" s="36" t="n">
        <v>44418</v>
      </c>
    </row>
    <row r="230">
      <c r="A230" s="36" t="n">
        <v>44417</v>
      </c>
    </row>
    <row r="231">
      <c r="A231" s="36" t="n">
        <v>44413</v>
      </c>
    </row>
    <row r="232">
      <c r="A232" s="36" t="n">
        <v>44412</v>
      </c>
    </row>
    <row r="233">
      <c r="A233" s="36" t="n">
        <v>44411</v>
      </c>
    </row>
    <row r="234">
      <c r="A234" s="36" t="n">
        <v>44410</v>
      </c>
    </row>
    <row r="235">
      <c r="A235" s="36" t="n">
        <v>44409</v>
      </c>
    </row>
    <row r="236">
      <c r="A236" s="36" t="n">
        <v>44407</v>
      </c>
    </row>
    <row r="237">
      <c r="A237" s="36" t="n">
        <v>44406</v>
      </c>
    </row>
    <row r="238">
      <c r="A238" s="36" t="n">
        <v>44405</v>
      </c>
    </row>
    <row r="239">
      <c r="A239" s="36" t="n">
        <v>44404</v>
      </c>
    </row>
    <row r="240">
      <c r="A240" s="36" t="n">
        <v>44403</v>
      </c>
    </row>
    <row r="241">
      <c r="A241" s="36" t="n">
        <v>44400</v>
      </c>
    </row>
    <row r="242">
      <c r="A242" s="36" t="n">
        <v>44399</v>
      </c>
    </row>
    <row r="243">
      <c r="A243" s="36" t="n">
        <v>44398</v>
      </c>
    </row>
    <row r="244">
      <c r="A244" s="36" t="n">
        <v>44397</v>
      </c>
    </row>
    <row r="245">
      <c r="A245" s="36" t="n">
        <v>44396</v>
      </c>
    </row>
    <row r="246">
      <c r="A246" s="44" t="inlineStr">
        <is>
          <t>Total general</t>
        </is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3:B217"/>
  <sheetViews>
    <sheetView workbookViewId="0">
      <selection activeCell="A8" sqref="A8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3">
      <c r="A3" s="35" t="inlineStr">
        <is>
          <t>Etiquetas de fila</t>
        </is>
      </c>
      <c r="B3" t="inlineStr">
        <is>
          <t>Suma de 30-38</t>
        </is>
      </c>
    </row>
    <row r="4">
      <c r="A4" s="36" t="n">
        <v>44088</v>
      </c>
      <c r="B4" t="n">
        <v>0.02672727646707934</v>
      </c>
    </row>
    <row r="5">
      <c r="A5" s="36" t="n">
        <v>44089</v>
      </c>
      <c r="B5" t="n">
        <v>0.02732779573744526</v>
      </c>
    </row>
    <row r="6">
      <c r="A6" s="36" t="n">
        <v>44090</v>
      </c>
      <c r="B6" t="n">
        <v>0.02812851383594334</v>
      </c>
    </row>
    <row r="7">
      <c r="A7" s="36" t="n">
        <v>44091</v>
      </c>
      <c r="B7" t="n">
        <v>0.02652679933494451</v>
      </c>
    </row>
    <row r="8">
      <c r="A8" s="36" t="n">
        <v>44092</v>
      </c>
      <c r="B8" t="n">
        <v>0.02852872412634638</v>
      </c>
    </row>
    <row r="9">
      <c r="A9" s="36" t="n">
        <v>44095</v>
      </c>
      <c r="B9" t="n">
        <v>0.02772763267502887</v>
      </c>
    </row>
    <row r="10">
      <c r="A10" s="36" t="n">
        <v>44096</v>
      </c>
      <c r="B10" t="n">
        <v>0.02742723938157765</v>
      </c>
    </row>
    <row r="11">
      <c r="A11" s="36" t="n">
        <v>44097</v>
      </c>
      <c r="B11" t="n">
        <v>0.03553517008271884</v>
      </c>
    </row>
    <row r="12">
      <c r="A12" s="36" t="n">
        <v>44098</v>
      </c>
      <c r="B12" t="n">
        <v>0.02602566915313737</v>
      </c>
    </row>
    <row r="13">
      <c r="A13" s="36" t="n">
        <v>44099</v>
      </c>
      <c r="B13" t="n">
        <v>0.02312272678968713</v>
      </c>
    </row>
    <row r="14">
      <c r="A14" s="36" t="n">
        <v>44102</v>
      </c>
      <c r="B14" t="n">
        <v>0.02472404667553374</v>
      </c>
    </row>
    <row r="15">
      <c r="A15" s="36" t="n">
        <v>44103</v>
      </c>
      <c r="B15" t="n">
        <v>0.02872784239519816</v>
      </c>
    </row>
    <row r="16">
      <c r="A16" s="36" t="n">
        <v>44104</v>
      </c>
      <c r="B16" t="n">
        <v>0.02202126711413083</v>
      </c>
    </row>
    <row r="17">
      <c r="A17" s="36" t="n">
        <v>44105</v>
      </c>
      <c r="B17" t="n">
        <v>0.01801733860324495</v>
      </c>
    </row>
    <row r="18">
      <c r="A18" s="36" t="n">
        <v>44106</v>
      </c>
      <c r="B18" t="n">
        <v>0.02152063622651856</v>
      </c>
    </row>
    <row r="19">
      <c r="A19" s="36" t="n">
        <v>44109</v>
      </c>
      <c r="B19" t="n">
        <v>0.02752611209949163</v>
      </c>
    </row>
    <row r="20">
      <c r="A20" s="36" t="n">
        <v>44110</v>
      </c>
      <c r="B20" t="n">
        <v>0.03052885604201239</v>
      </c>
    </row>
    <row r="21">
      <c r="A21" s="36" t="n">
        <v>44111</v>
      </c>
      <c r="B21" t="n">
        <v>0.0320301653954923</v>
      </c>
    </row>
    <row r="22">
      <c r="A22" s="36" t="n">
        <v>44112</v>
      </c>
      <c r="B22" t="n">
        <v>0.03263061914262017</v>
      </c>
    </row>
    <row r="23">
      <c r="A23" s="36" t="n">
        <v>44113</v>
      </c>
      <c r="B23" t="n">
        <v>0.03172966506356967</v>
      </c>
    </row>
    <row r="24">
      <c r="A24" s="36" t="n">
        <v>44117</v>
      </c>
      <c r="B24" t="n">
        <v>0.03182932221807072</v>
      </c>
    </row>
    <row r="25">
      <c r="A25" s="36" t="n">
        <v>44118</v>
      </c>
      <c r="B25" t="n">
        <v>0.03373095855099889</v>
      </c>
    </row>
    <row r="26">
      <c r="A26" s="36" t="n">
        <v>44119</v>
      </c>
      <c r="B26" t="n">
        <v>0.04013670033900857</v>
      </c>
    </row>
    <row r="27">
      <c r="A27" s="36" t="n">
        <v>44120</v>
      </c>
      <c r="B27" t="n">
        <v>0.043940027559352</v>
      </c>
    </row>
    <row r="28">
      <c r="A28" s="36" t="n">
        <v>44123</v>
      </c>
      <c r="B28" t="n">
        <v>0.04504056736032797</v>
      </c>
    </row>
    <row r="29">
      <c r="A29" s="36" t="n">
        <v>44124</v>
      </c>
      <c r="B29" t="n">
        <v>0.03583215076541285</v>
      </c>
    </row>
    <row r="30">
      <c r="A30" s="36" t="n">
        <v>44125</v>
      </c>
      <c r="B30" t="n">
        <v>0.03553175955220245</v>
      </c>
    </row>
    <row r="31">
      <c r="A31" s="36" t="n">
        <v>44126</v>
      </c>
      <c r="B31" t="n">
        <v>0.02362103242613284</v>
      </c>
    </row>
    <row r="32">
      <c r="A32" s="36" t="n">
        <v>44127</v>
      </c>
      <c r="B32" t="n">
        <v>0.02872547910646767</v>
      </c>
    </row>
    <row r="33">
      <c r="A33" s="36" t="n">
        <v>44130</v>
      </c>
      <c r="B33" t="n">
        <v>0.02231956784029832</v>
      </c>
    </row>
    <row r="34">
      <c r="A34" s="36" t="n">
        <v>44131</v>
      </c>
      <c r="B34" t="n">
        <v>0.02622290013539219</v>
      </c>
    </row>
    <row r="35">
      <c r="A35" s="36" t="n">
        <v>44132</v>
      </c>
      <c r="B35" t="n">
        <v>0.02702350674902138</v>
      </c>
    </row>
    <row r="36">
      <c r="A36" s="36" t="n">
        <v>44133</v>
      </c>
      <c r="B36" t="n">
        <v>0.0265229805276489</v>
      </c>
    </row>
    <row r="37">
      <c r="A37" s="36" t="n">
        <v>44134</v>
      </c>
      <c r="B37" t="n">
        <v>0.02071787981408613</v>
      </c>
    </row>
    <row r="38">
      <c r="A38" s="36" t="n">
        <v>44137</v>
      </c>
      <c r="B38" t="n">
        <v>0.02392039787352918</v>
      </c>
    </row>
    <row r="39">
      <c r="A39" s="36" t="n">
        <v>44138</v>
      </c>
      <c r="B39" t="n">
        <v>0.01531300556637144</v>
      </c>
    </row>
    <row r="40">
      <c r="A40" s="36" t="n">
        <v>44139</v>
      </c>
      <c r="B40" t="n">
        <v>0.01140965131463939</v>
      </c>
    </row>
    <row r="41">
      <c r="A41" s="36" t="n">
        <v>44140</v>
      </c>
      <c r="B41" t="n">
        <v>0.005904974738992486</v>
      </c>
    </row>
    <row r="42">
      <c r="A42" s="36" t="n">
        <v>44141</v>
      </c>
      <c r="B42" t="n">
        <v>0.006205206423197496</v>
      </c>
    </row>
    <row r="43">
      <c r="A43" s="36" t="n">
        <v>44144</v>
      </c>
      <c r="B43" t="n">
        <v>0.004503732545465766</v>
      </c>
    </row>
    <row r="44">
      <c r="A44" s="36" t="n">
        <v>44145</v>
      </c>
      <c r="B44" t="n">
        <v>-0.001000826024218637</v>
      </c>
    </row>
    <row r="45">
      <c r="A45" s="36" t="n">
        <v>44146</v>
      </c>
      <c r="B45" t="n">
        <v>0.007506169454346068</v>
      </c>
    </row>
    <row r="46">
      <c r="A46" s="36" t="n">
        <v>44147</v>
      </c>
      <c r="B46" t="n">
        <v>0.004703850069063376</v>
      </c>
    </row>
    <row r="47">
      <c r="A47" s="36" t="n">
        <v>44148</v>
      </c>
      <c r="B47" t="n">
        <v>0.002301876186754925</v>
      </c>
    </row>
    <row r="48">
      <c r="A48" s="36" t="n">
        <v>44151</v>
      </c>
      <c r="B48" t="n">
        <v>0.004603705036587691</v>
      </c>
    </row>
    <row r="49">
      <c r="A49" s="36" t="n">
        <v>44152</v>
      </c>
      <c r="B49" t="n">
        <v>0.005304250666630095</v>
      </c>
    </row>
    <row r="50">
      <c r="A50" s="36" t="n">
        <v>44153</v>
      </c>
      <c r="B50" t="n">
        <v>0.003402715180263749</v>
      </c>
    </row>
    <row r="51">
      <c r="A51" s="36" t="n">
        <v>44154</v>
      </c>
      <c r="B51" t="n">
        <v>0.004303419154945032</v>
      </c>
    </row>
    <row r="52">
      <c r="A52" s="36" t="n">
        <v>44155</v>
      </c>
      <c r="B52" t="n">
        <v>0.002602058477768343</v>
      </c>
    </row>
    <row r="53">
      <c r="A53" s="36" t="n">
        <v>44159</v>
      </c>
      <c r="B53" t="n">
        <v>0.008006224016615715</v>
      </c>
    </row>
    <row r="54">
      <c r="A54" s="36" t="n">
        <v>44160</v>
      </c>
      <c r="B54" t="n">
        <v>0.01200929486520397</v>
      </c>
    </row>
    <row r="55">
      <c r="A55" s="36" t="n">
        <v>44161</v>
      </c>
      <c r="B55" t="n">
        <v>0.0149114900179933</v>
      </c>
    </row>
    <row r="56">
      <c r="A56" s="36" t="n">
        <v>44162</v>
      </c>
      <c r="B56" t="n">
        <v>0.01511159245448562</v>
      </c>
    </row>
    <row r="57">
      <c r="A57" s="36" t="n">
        <v>44165</v>
      </c>
      <c r="B57" t="n">
        <v>0.01461105836951943</v>
      </c>
    </row>
    <row r="58">
      <c r="A58" s="36" t="n">
        <v>44166</v>
      </c>
      <c r="B58" t="n">
        <v>0.01531153608883401</v>
      </c>
    </row>
    <row r="59">
      <c r="A59" s="36" t="n">
        <v>44167</v>
      </c>
      <c r="B59" t="n">
        <v>0.006705028771578692</v>
      </c>
    </row>
    <row r="60">
      <c r="A60" s="36" t="n">
        <v>44168</v>
      </c>
      <c r="B60" t="n">
        <v>0.0145108334304378</v>
      </c>
    </row>
    <row r="61">
      <c r="A61" s="36" t="n">
        <v>44169</v>
      </c>
      <c r="B61" t="n">
        <v>0.01471093243951843</v>
      </c>
    </row>
    <row r="62">
      <c r="A62" s="36" t="n">
        <v>44174</v>
      </c>
      <c r="B62" t="n">
        <v>0.01991445844243073</v>
      </c>
    </row>
    <row r="63">
      <c r="A63" s="36" t="n">
        <v>44175</v>
      </c>
      <c r="B63" t="n">
        <v>0.02321677650631104</v>
      </c>
    </row>
    <row r="64">
      <c r="A64" s="36" t="n">
        <v>44176</v>
      </c>
      <c r="B64" t="n">
        <v>0.02531820830049009</v>
      </c>
    </row>
    <row r="65">
      <c r="A65" s="36" t="n">
        <v>44179</v>
      </c>
      <c r="B65" t="n">
        <v>0.02912064374402401</v>
      </c>
    </row>
    <row r="66">
      <c r="A66" s="36" t="n">
        <v>44180</v>
      </c>
      <c r="B66" t="n">
        <v>0.03032139111839177</v>
      </c>
    </row>
    <row r="67">
      <c r="A67" s="36" t="n">
        <v>44181</v>
      </c>
      <c r="B67" t="n">
        <v>0.0250175637005432</v>
      </c>
    </row>
    <row r="68">
      <c r="A68" s="36" t="n">
        <v>44182</v>
      </c>
      <c r="B68" t="n">
        <v>0.01941356290010832</v>
      </c>
    </row>
    <row r="69">
      <c r="A69" s="36" t="n">
        <v>44183</v>
      </c>
      <c r="B69" t="n">
        <v>0.01961363550687639</v>
      </c>
    </row>
    <row r="70">
      <c r="A70" s="36" t="n">
        <v>44186</v>
      </c>
      <c r="B70" t="n">
        <v>0.02131459904043864</v>
      </c>
    </row>
    <row r="71">
      <c r="A71" s="36" t="n">
        <v>44187</v>
      </c>
      <c r="B71" t="n">
        <v>0.02061404861532345</v>
      </c>
    </row>
    <row r="72">
      <c r="A72" s="36" t="n">
        <v>44188</v>
      </c>
      <c r="B72" t="n">
        <v>0.02041384226290427</v>
      </c>
    </row>
    <row r="73">
      <c r="A73" s="36" t="n">
        <v>44193</v>
      </c>
      <c r="B73" t="n">
        <v>0.01901256652513472</v>
      </c>
    </row>
    <row r="74">
      <c r="A74" s="36" t="n">
        <v>44194</v>
      </c>
      <c r="B74" t="n">
        <v>0.02131401469459371</v>
      </c>
    </row>
    <row r="75">
      <c r="A75" s="36" t="n">
        <v>44195</v>
      </c>
      <c r="B75" t="n">
        <v>0.02741793433375939</v>
      </c>
    </row>
    <row r="76">
      <c r="A76" s="36" t="n">
        <v>44200</v>
      </c>
      <c r="B76" t="n">
        <v>0.03322116142474318</v>
      </c>
    </row>
    <row r="77">
      <c r="A77" s="36" t="n">
        <v>44201</v>
      </c>
      <c r="B77" t="n">
        <v>0.03352123777050531</v>
      </c>
    </row>
    <row r="78">
      <c r="A78" s="36" t="n">
        <v>44202</v>
      </c>
      <c r="B78" t="n">
        <v>0.02721715053321266</v>
      </c>
    </row>
    <row r="79">
      <c r="A79" s="36" t="n">
        <v>44203</v>
      </c>
      <c r="B79" t="n">
        <v>0.02441530137037934</v>
      </c>
    </row>
    <row r="80">
      <c r="A80" s="36" t="n">
        <v>44204</v>
      </c>
      <c r="B80" t="n">
        <v>0.02501559191002611</v>
      </c>
    </row>
    <row r="81">
      <c r="A81" s="36" t="n">
        <v>44207</v>
      </c>
      <c r="B81" t="n">
        <v>0.02651625482744557</v>
      </c>
    </row>
    <row r="82">
      <c r="A82" s="36" t="n">
        <v>44208</v>
      </c>
      <c r="B82" t="n">
        <v>0.02691640794731032</v>
      </c>
    </row>
    <row r="83">
      <c r="A83" s="36" t="n">
        <v>44209</v>
      </c>
      <c r="B83" t="n">
        <v>0.02761674028435041</v>
      </c>
    </row>
    <row r="84">
      <c r="A84" s="36" t="n">
        <v>44210</v>
      </c>
      <c r="B84" t="n">
        <v>0.0306184549591535</v>
      </c>
    </row>
    <row r="85">
      <c r="A85" s="36" t="n">
        <v>44211</v>
      </c>
      <c r="B85" t="n">
        <v>0.02991793026642675</v>
      </c>
    </row>
    <row r="86">
      <c r="A86" s="36" t="n">
        <v>44214</v>
      </c>
      <c r="B86" t="n">
        <v>0.0300176816480941</v>
      </c>
    </row>
    <row r="87">
      <c r="A87" s="36" t="n">
        <v>44215</v>
      </c>
      <c r="B87" t="n">
        <v>0.0294172272118261</v>
      </c>
    </row>
    <row r="88">
      <c r="A88" s="36" t="n">
        <v>44216</v>
      </c>
      <c r="B88" t="n">
        <v>0.02381386423602783</v>
      </c>
    </row>
    <row r="89">
      <c r="A89" s="36" t="n">
        <v>44217</v>
      </c>
      <c r="B89" t="n">
        <v>0.02681551994133591</v>
      </c>
    </row>
    <row r="90">
      <c r="A90" s="36" t="n">
        <v>44218</v>
      </c>
      <c r="B90" t="n">
        <v>0.02491433427451401</v>
      </c>
    </row>
    <row r="91">
      <c r="A91" s="36" t="n">
        <v>44221</v>
      </c>
      <c r="B91" t="n">
        <v>0.02091181660870012</v>
      </c>
    </row>
    <row r="92">
      <c r="A92" s="36" t="n">
        <v>44222</v>
      </c>
      <c r="B92" t="n">
        <v>0.02201236310804694</v>
      </c>
    </row>
    <row r="93">
      <c r="A93" s="36" t="n">
        <v>44223</v>
      </c>
      <c r="B93" t="n">
        <v>0.01760983014490963</v>
      </c>
    </row>
    <row r="94">
      <c r="A94" s="36" t="n">
        <v>44224</v>
      </c>
      <c r="B94" t="n">
        <v>0.0152084375578232</v>
      </c>
    </row>
    <row r="95">
      <c r="A95" s="36" t="n">
        <v>44225</v>
      </c>
      <c r="B95" t="n">
        <v>0.01440794410616808</v>
      </c>
    </row>
    <row r="96">
      <c r="A96" s="36" t="n">
        <v>44228</v>
      </c>
      <c r="B96" t="n">
        <v>0.0134072546103714</v>
      </c>
    </row>
    <row r="97">
      <c r="A97" s="36" t="n">
        <v>44229</v>
      </c>
      <c r="B97" t="n">
        <v>0.01320710107831952</v>
      </c>
    </row>
    <row r="98">
      <c r="A98" s="36" t="n">
        <v>44230</v>
      </c>
      <c r="B98" t="n">
        <v>0.01230657474541202</v>
      </c>
    </row>
    <row r="99">
      <c r="A99" s="36" t="n">
        <v>44231</v>
      </c>
      <c r="B99" t="n">
        <v>0.0136072230122154</v>
      </c>
    </row>
    <row r="100">
      <c r="A100" s="36" t="n">
        <v>44232</v>
      </c>
      <c r="B100" t="n">
        <v>0.0162085483439896</v>
      </c>
    </row>
    <row r="101">
      <c r="A101" s="36" t="n">
        <v>44235</v>
      </c>
      <c r="B101" t="n">
        <v>0.01650853694890164</v>
      </c>
    </row>
    <row r="102">
      <c r="A102" s="36" t="n">
        <v>44236</v>
      </c>
      <c r="B102" t="n">
        <v>0.01720884015761526</v>
      </c>
    </row>
    <row r="103">
      <c r="A103" s="36" t="n">
        <v>44237</v>
      </c>
      <c r="B103" t="n">
        <v>0.01950995542245876</v>
      </c>
    </row>
    <row r="104">
      <c r="A104" s="36" t="n">
        <v>44238</v>
      </c>
      <c r="B104" t="n">
        <v>0.01510765730575769</v>
      </c>
    </row>
    <row r="105">
      <c r="A105" s="36" t="n">
        <v>44239</v>
      </c>
      <c r="B105" t="n">
        <v>0.01150579229954812</v>
      </c>
    </row>
    <row r="106">
      <c r="A106" s="36" t="n">
        <v>44244</v>
      </c>
      <c r="B106" t="n">
        <v>0.01450705480062225</v>
      </c>
    </row>
    <row r="107">
      <c r="A107" s="36" t="n">
        <v>44245</v>
      </c>
      <c r="B107" t="n">
        <v>0.0197095172668994</v>
      </c>
    </row>
    <row r="108">
      <c r="A108" s="36" t="n">
        <v>44246</v>
      </c>
      <c r="B108" t="n">
        <v>0.01390666758034675</v>
      </c>
    </row>
    <row r="109">
      <c r="A109" s="36" t="n">
        <v>44249</v>
      </c>
      <c r="B109" t="n">
        <v>0.01950915326711505</v>
      </c>
    </row>
    <row r="110">
      <c r="A110" s="36" t="n">
        <v>44250</v>
      </c>
      <c r="B110" t="n">
        <v>0.01650768851245782</v>
      </c>
    </row>
    <row r="111">
      <c r="A111" s="36" t="n">
        <v>44251</v>
      </c>
      <c r="B111" t="n">
        <v>0.01780823325852704</v>
      </c>
    </row>
    <row r="112">
      <c r="A112" s="36" t="n">
        <v>44252</v>
      </c>
      <c r="B112" t="n">
        <v>0.01870858544674608</v>
      </c>
    </row>
    <row r="113">
      <c r="A113" s="36" t="n">
        <v>44253</v>
      </c>
      <c r="B113" t="n">
        <v>0.01930879475925679</v>
      </c>
    </row>
    <row r="114">
      <c r="A114" s="36" t="n">
        <v>44256</v>
      </c>
      <c r="B114" t="n">
        <v>0.01730770548531885</v>
      </c>
    </row>
    <row r="115">
      <c r="A115" s="36" t="n">
        <v>44257</v>
      </c>
      <c r="B115" t="n">
        <v>0.01840813235984384</v>
      </c>
    </row>
    <row r="116">
      <c r="A116" s="36" t="n">
        <v>44258</v>
      </c>
      <c r="B116" t="n">
        <v>0.02671170924240768</v>
      </c>
    </row>
    <row r="117">
      <c r="A117" s="36" t="n">
        <v>44259</v>
      </c>
      <c r="B117" t="n">
        <v>0.0258112261154681</v>
      </c>
    </row>
    <row r="118">
      <c r="A118" s="36" t="n">
        <v>44260</v>
      </c>
      <c r="B118" t="n">
        <v>0.02250971309537675</v>
      </c>
    </row>
    <row r="119">
      <c r="A119" s="36" t="n">
        <v>44263</v>
      </c>
      <c r="B119" t="n">
        <v>0.02651116737529857</v>
      </c>
    </row>
    <row r="120">
      <c r="A120" s="36" t="n">
        <v>44264</v>
      </c>
      <c r="B120" t="n">
        <v>0.0254106167645386</v>
      </c>
    </row>
    <row r="121">
      <c r="A121" s="36" t="n">
        <v>44265</v>
      </c>
      <c r="B121" t="n">
        <v>0.01410584523038655</v>
      </c>
    </row>
    <row r="122">
      <c r="A122" s="36" t="n">
        <v>44266</v>
      </c>
      <c r="B122" t="n">
        <v>0.01460600246676713</v>
      </c>
    </row>
    <row r="123">
      <c r="A123" s="36" t="n">
        <v>44267</v>
      </c>
      <c r="B123" t="n">
        <v>0.01640668628653458</v>
      </c>
    </row>
    <row r="124">
      <c r="A124" s="36" t="n">
        <v>44270</v>
      </c>
      <c r="B124" t="n">
        <v>0.0131052061777967</v>
      </c>
    </row>
    <row r="125">
      <c r="A125" s="36" t="n">
        <v>44271</v>
      </c>
      <c r="B125" t="n">
        <v>0.01150453089401648</v>
      </c>
    </row>
    <row r="126">
      <c r="A126" s="36" t="n">
        <v>44272</v>
      </c>
      <c r="B126" t="n">
        <v>0.01750683486018517</v>
      </c>
    </row>
    <row r="127">
      <c r="A127" s="36" t="n">
        <v>44273</v>
      </c>
      <c r="B127" t="n">
        <v>0.01900735558623712</v>
      </c>
    </row>
    <row r="128">
      <c r="A128" s="36" t="n">
        <v>44274</v>
      </c>
      <c r="B128" t="n">
        <v>0.01470564051965134</v>
      </c>
    </row>
    <row r="129">
      <c r="A129" s="36" t="n">
        <v>44277</v>
      </c>
      <c r="B129" t="n">
        <v>0.01110414504044316</v>
      </c>
    </row>
    <row r="130">
      <c r="A130" s="36" t="n">
        <v>44278</v>
      </c>
      <c r="B130" t="n">
        <v>0.006802515999068115</v>
      </c>
    </row>
    <row r="131">
      <c r="A131" s="36" t="n">
        <v>44280</v>
      </c>
      <c r="B131" t="n">
        <v>0.005301924671284763</v>
      </c>
    </row>
    <row r="132">
      <c r="A132" s="36" t="n">
        <v>44281</v>
      </c>
      <c r="B132" t="n">
        <v>0.005802086366672898</v>
      </c>
    </row>
    <row r="133">
      <c r="A133" s="36" t="n">
        <v>44284</v>
      </c>
      <c r="B133" t="n">
        <v>0.00360125797367572</v>
      </c>
    </row>
    <row r="134">
      <c r="A134" s="36" t="n">
        <v>44285</v>
      </c>
      <c r="B134" t="n">
        <v>0.002901003429268301</v>
      </c>
    </row>
    <row r="135">
      <c r="A135" s="36" t="n">
        <v>44286</v>
      </c>
      <c r="B135" t="n">
        <v>0.001500513874614584</v>
      </c>
    </row>
    <row r="136">
      <c r="A136" s="36" t="n">
        <v>44291</v>
      </c>
      <c r="B136" t="n">
        <v>0.009503091759305249</v>
      </c>
    </row>
    <row r="137">
      <c r="A137" s="36" t="n">
        <v>44292</v>
      </c>
      <c r="B137" t="n">
        <v>0.009302994799695763</v>
      </c>
    </row>
    <row r="138">
      <c r="A138" s="36" t="n">
        <v>44293</v>
      </c>
      <c r="B138" t="n">
        <v>0.02150684978434914</v>
      </c>
    </row>
    <row r="139">
      <c r="A139" s="36" t="n">
        <v>44294</v>
      </c>
      <c r="B139" t="n">
        <v>0.01080340381216</v>
      </c>
    </row>
    <row r="140">
      <c r="A140" s="36" t="n">
        <v>44295</v>
      </c>
      <c r="B140" t="n">
        <v>0.01080336680266797</v>
      </c>
    </row>
    <row r="141">
      <c r="A141" s="36" t="n">
        <v>44298</v>
      </c>
      <c r="B141" t="n">
        <v>0.009502863876784728</v>
      </c>
    </row>
    <row r="142">
      <c r="A142" s="36" t="n">
        <v>44299</v>
      </c>
      <c r="B142" t="n">
        <v>0.009802920733232134</v>
      </c>
    </row>
    <row r="143">
      <c r="A143" s="36" t="n">
        <v>44300</v>
      </c>
      <c r="B143" t="n">
        <v>0.009202710387305912</v>
      </c>
    </row>
    <row r="144">
      <c r="A144" s="36" t="n">
        <v>44301</v>
      </c>
      <c r="B144" t="n">
        <v>0.007502183854889266</v>
      </c>
    </row>
    <row r="145">
      <c r="A145" s="36" t="n">
        <v>44302</v>
      </c>
      <c r="B145" t="n">
        <v>0.006001726524068551</v>
      </c>
    </row>
    <row r="146">
      <c r="A146" s="36" t="n">
        <v>44305</v>
      </c>
      <c r="B146" t="n">
        <v>0.008702414025808514</v>
      </c>
    </row>
    <row r="147">
      <c r="A147" s="36" t="n">
        <v>44306</v>
      </c>
      <c r="B147" t="n">
        <v>0.006101671690874166</v>
      </c>
    </row>
    <row r="148">
      <c r="A148" s="36" t="n">
        <v>44307</v>
      </c>
      <c r="B148" t="n">
        <v>0.005501488416386646</v>
      </c>
    </row>
    <row r="149">
      <c r="A149" s="36" t="n">
        <v>44308</v>
      </c>
      <c r="B149" t="n">
        <v>0.001700454230924631</v>
      </c>
    </row>
    <row r="150">
      <c r="A150" s="36" t="n">
        <v>44309</v>
      </c>
      <c r="B150" t="n">
        <v>0.003500923188649085</v>
      </c>
    </row>
    <row r="151">
      <c r="A151" s="36" t="n">
        <v>44312</v>
      </c>
      <c r="B151" t="n">
        <v>0.01120283907565617</v>
      </c>
    </row>
    <row r="152">
      <c r="A152" s="36" t="n">
        <v>44313</v>
      </c>
      <c r="B152" t="n">
        <v>0.013503375843961</v>
      </c>
    </row>
    <row r="153">
      <c r="A153" s="36" t="n">
        <v>44314</v>
      </c>
      <c r="B153" t="n">
        <v>0.01050258967964707</v>
      </c>
    </row>
    <row r="154">
      <c r="A154" s="36" t="n">
        <v>44315</v>
      </c>
      <c r="B154" t="n">
        <v>0.01330323469062683</v>
      </c>
    </row>
    <row r="155">
      <c r="A155" s="36" t="n">
        <v>44316</v>
      </c>
      <c r="B155" t="n">
        <v>0.01100263761860715</v>
      </c>
    </row>
    <row r="156">
      <c r="A156" s="36" t="n">
        <v>44319</v>
      </c>
      <c r="B156" t="n">
        <v>0.01530351142214137</v>
      </c>
    </row>
    <row r="157">
      <c r="A157" s="36" t="n">
        <v>44320</v>
      </c>
      <c r="B157" t="n">
        <v>0.01470332335390878</v>
      </c>
    </row>
    <row r="158">
      <c r="A158" s="36" t="n">
        <v>44321</v>
      </c>
      <c r="B158" t="n">
        <v>0.01170260503194209</v>
      </c>
    </row>
    <row r="159">
      <c r="A159" s="36" t="n">
        <v>44322</v>
      </c>
      <c r="B159" t="n">
        <v>0.01250274032664694</v>
      </c>
    </row>
    <row r="160">
      <c r="A160" s="36" t="n">
        <v>44323</v>
      </c>
      <c r="B160" t="n">
        <v>0.008501834299866007</v>
      </c>
    </row>
    <row r="161">
      <c r="A161" s="36" t="n">
        <v>44326</v>
      </c>
      <c r="B161" t="n">
        <v>0.008601767486469791</v>
      </c>
    </row>
    <row r="162">
      <c r="A162" s="36" t="n">
        <v>44327</v>
      </c>
      <c r="B162" t="n">
        <v>0.006701354040713703</v>
      </c>
    </row>
    <row r="163">
      <c r="A163" s="36" t="n">
        <v>44328</v>
      </c>
      <c r="B163" t="n">
        <v>0.007101410554151144</v>
      </c>
    </row>
    <row r="164">
      <c r="A164" s="36" t="n">
        <v>44329</v>
      </c>
      <c r="B164" t="n">
        <v>0.006901347180785222</v>
      </c>
    </row>
    <row r="165">
      <c r="A165" s="36" t="n">
        <v>44330</v>
      </c>
      <c r="B165" t="n">
        <v>0.005901131723892283</v>
      </c>
    </row>
    <row r="166">
      <c r="A166" s="36" t="n">
        <v>44333</v>
      </c>
      <c r="B166" t="n">
        <v>0.00500090769900019</v>
      </c>
    </row>
    <row r="167">
      <c r="A167" s="36" t="n">
        <v>44334</v>
      </c>
      <c r="B167" t="n">
        <v>0.002000356227821409</v>
      </c>
    </row>
    <row r="168">
      <c r="A168" s="36" t="n">
        <v>44335</v>
      </c>
      <c r="B168" t="n">
        <v>-0.0008001397504358576</v>
      </c>
    </row>
    <row r="169">
      <c r="A169" s="36" t="n">
        <v>44336</v>
      </c>
      <c r="B169" t="n">
        <v>-0.004700804932351421</v>
      </c>
    </row>
    <row r="170">
      <c r="A170" s="36" t="n">
        <v>44337</v>
      </c>
      <c r="B170" t="n">
        <v>-0.006701124503769473</v>
      </c>
    </row>
    <row r="171">
      <c r="A171" s="36" t="n">
        <v>44342</v>
      </c>
      <c r="B171" t="n">
        <v>-0.01200180849169052</v>
      </c>
    </row>
    <row r="172">
      <c r="A172" s="36" t="n">
        <v>44343</v>
      </c>
      <c r="B172" t="n">
        <v>-0.009901458091431281</v>
      </c>
    </row>
    <row r="173">
      <c r="A173" s="36" t="n">
        <v>44344</v>
      </c>
      <c r="B173" t="n">
        <v>-0.009701395406188584</v>
      </c>
    </row>
    <row r="174">
      <c r="A174" s="36" t="n">
        <v>44347</v>
      </c>
      <c r="B174" t="n">
        <v>-0.009501269005106894</v>
      </c>
    </row>
    <row r="175">
      <c r="A175" s="36" t="n">
        <v>44348</v>
      </c>
      <c r="B175" t="n">
        <v>-0.01200156184708961</v>
      </c>
    </row>
    <row r="176">
      <c r="A176" s="36" t="n">
        <v>44349</v>
      </c>
      <c r="B176" t="n">
        <v>-0.01300164746902865</v>
      </c>
    </row>
    <row r="177">
      <c r="A177" s="36" t="n">
        <v>44350</v>
      </c>
      <c r="B177" t="n">
        <v>-0.00910112205614394</v>
      </c>
    </row>
    <row r="178">
      <c r="A178" s="36" t="n">
        <v>44351</v>
      </c>
      <c r="B178" t="n">
        <v>-0.01160139057763765</v>
      </c>
    </row>
    <row r="179">
      <c r="A179" s="36" t="n">
        <v>44354</v>
      </c>
      <c r="B179" t="n">
        <v>-0.008000876808417323</v>
      </c>
    </row>
    <row r="180">
      <c r="A180" s="36" t="n">
        <v>44355</v>
      </c>
      <c r="B180" t="n">
        <v>-0.005300562730974789</v>
      </c>
    </row>
    <row r="181">
      <c r="A181" s="36" t="n">
        <v>44356</v>
      </c>
      <c r="B181" t="n">
        <v>-0.005000513751412805</v>
      </c>
    </row>
    <row r="182">
      <c r="A182" s="36" t="n">
        <v>44357</v>
      </c>
      <c r="B182" t="n">
        <v>-0.003600357569758683</v>
      </c>
    </row>
    <row r="183">
      <c r="A183" s="36" t="n">
        <v>44358</v>
      </c>
      <c r="B183" t="n">
        <v>-0.003600345238584546</v>
      </c>
    </row>
    <row r="184">
      <c r="A184" s="36" t="n">
        <v>44361</v>
      </c>
      <c r="B184" t="n">
        <v>-0.004000342495076692</v>
      </c>
    </row>
    <row r="185">
      <c r="A185" s="36" t="n">
        <v>44362</v>
      </c>
      <c r="B185" t="n">
        <v>-0.001900156177220003</v>
      </c>
    </row>
    <row r="186">
      <c r="A186" s="36" t="n">
        <v>44363</v>
      </c>
      <c r="B186" t="n">
        <v>-0.005800456885302618</v>
      </c>
    </row>
    <row r="187">
      <c r="A187" s="36" t="n">
        <v>44364</v>
      </c>
      <c r="B187" t="n">
        <v>-0.00450033906664199</v>
      </c>
    </row>
    <row r="188">
      <c r="A188" s="36" t="n">
        <v>44365</v>
      </c>
      <c r="B188" t="n">
        <v>-0.006000431537884598</v>
      </c>
    </row>
    <row r="189">
      <c r="A189" s="36" t="n">
        <v>44369</v>
      </c>
      <c r="B189" t="n">
        <v>-0.006700390091203989</v>
      </c>
    </row>
    <row r="190">
      <c r="A190" s="36" t="n">
        <v>44370</v>
      </c>
      <c r="B190" t="n">
        <v>-0.008100443859937523</v>
      </c>
    </row>
    <row r="191">
      <c r="A191" s="36" t="n">
        <v>44371</v>
      </c>
      <c r="B191" t="n">
        <v>-0.01110057023477234</v>
      </c>
    </row>
    <row r="192">
      <c r="A192" s="36" t="n">
        <v>44372</v>
      </c>
      <c r="B192" t="n">
        <v>-0.01210058016480242</v>
      </c>
    </row>
    <row r="193">
      <c r="A193" s="36" t="n">
        <v>44375</v>
      </c>
      <c r="B193" t="n">
        <v>-0.0115004332354986</v>
      </c>
    </row>
    <row r="194">
      <c r="A194" s="36" t="n">
        <v>44376</v>
      </c>
      <c r="B194" t="n">
        <v>-0.01200041097297855</v>
      </c>
    </row>
    <row r="195">
      <c r="A195" s="36" t="n">
        <v>44377</v>
      </c>
      <c r="B195" t="n">
        <v>-0.01080033288697252</v>
      </c>
    </row>
    <row r="196">
      <c r="A196" s="36" t="n">
        <v>44378</v>
      </c>
      <c r="B196" t="n">
        <v>-0.01450039727115815</v>
      </c>
    </row>
    <row r="197">
      <c r="A197" s="36" t="n">
        <v>44379</v>
      </c>
      <c r="B197" t="n">
        <v>-0.01670040035206316</v>
      </c>
    </row>
    <row r="198">
      <c r="A198" s="36" t="n">
        <v>44382</v>
      </c>
      <c r="B198" t="n">
        <v>-0.01860025479801092</v>
      </c>
    </row>
    <row r="199">
      <c r="A199" s="36" t="n">
        <v>44383</v>
      </c>
      <c r="B199" t="n">
        <v>-0.01630016746747392</v>
      </c>
    </row>
    <row r="200">
      <c r="A200" s="36" t="n">
        <v>44384</v>
      </c>
      <c r="B200" t="n">
        <v>-0.01940013287762249</v>
      </c>
    </row>
    <row r="201">
      <c r="A201" s="36" t="n">
        <v>44385</v>
      </c>
      <c r="B201" t="n">
        <v>-0.01800006164404672</v>
      </c>
    </row>
    <row r="202">
      <c r="A202" s="36" t="n">
        <v>44389</v>
      </c>
      <c r="B202" t="n">
        <v>-0.01669982842642026</v>
      </c>
    </row>
    <row r="203">
      <c r="A203" s="36" t="n">
        <v>44390</v>
      </c>
      <c r="B203" t="n">
        <v>-0.01749976027725647</v>
      </c>
    </row>
    <row r="204">
      <c r="A204" s="36" t="n">
        <v>44391</v>
      </c>
      <c r="B204" t="n">
        <v>-0.01729970377219564</v>
      </c>
    </row>
    <row r="205">
      <c r="A205" s="36" t="n">
        <v>44392</v>
      </c>
      <c r="B205" t="n">
        <v>-0.01709964863735675</v>
      </c>
    </row>
    <row r="206">
      <c r="A206" s="36" t="n">
        <v>44393</v>
      </c>
      <c r="B206" t="n">
        <v>-0.01629960925594248</v>
      </c>
    </row>
    <row r="207">
      <c r="A207" s="36" t="n">
        <v>44396</v>
      </c>
      <c r="B207" t="n">
        <v>-0.01809938015821372</v>
      </c>
    </row>
    <row r="208">
      <c r="A208" s="36" t="n">
        <v>44397</v>
      </c>
      <c r="B208" t="n">
        <v>-0.02009924283674253</v>
      </c>
    </row>
    <row r="209">
      <c r="A209" s="36" t="n">
        <v>44398</v>
      </c>
      <c r="B209" t="n">
        <v>-0.01829924797611054</v>
      </c>
    </row>
    <row r="210">
      <c r="A210" s="36" t="n">
        <v>44399</v>
      </c>
      <c r="B210" t="n">
        <v>-0.02249899833226604</v>
      </c>
    </row>
    <row r="211">
      <c r="A211" s="36" t="n">
        <v>44400</v>
      </c>
      <c r="B211" t="n">
        <v>-0.02309889251885189</v>
      </c>
    </row>
    <row r="212">
      <c r="A212" s="36" t="n">
        <v>44403</v>
      </c>
      <c r="B212" t="n">
        <v>-0.02229870178790966</v>
      </c>
    </row>
    <row r="213">
      <c r="A213" s="36" t="n">
        <v>44404</v>
      </c>
      <c r="B213" t="n">
        <v>-0.02279859460718175</v>
      </c>
    </row>
    <row r="214">
      <c r="A214" s="36" t="n">
        <v>44405</v>
      </c>
      <c r="B214" t="n">
        <v>-0.02439841243206781</v>
      </c>
    </row>
    <row r="215">
      <c r="A215" s="36" t="n">
        <v>44406</v>
      </c>
      <c r="B215" t="n">
        <v>-0.02539826039312382</v>
      </c>
    </row>
    <row r="216">
      <c r="A216" s="36" t="n">
        <v>44407</v>
      </c>
      <c r="B216" t="n">
        <v>-0.02609812308018944</v>
      </c>
    </row>
    <row r="217">
      <c r="A217" s="36" t="inlineStr">
        <is>
          <t>Total general</t>
        </is>
      </c>
      <c r="B217" t="n">
        <v>2.309271546260829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H270"/>
  <sheetViews>
    <sheetView topLeftCell="A190" workbookViewId="0">
      <selection activeCell="A269" sqref="A269"/>
    </sheetView>
  </sheetViews>
  <sheetFormatPr baseColWidth="10" defaultRowHeight="15"/>
  <cols>
    <col width="17.5703125" customWidth="1" style="76" min="1" max="1"/>
    <col width="12.140625" customWidth="1" style="76" min="2" max="2"/>
    <col width="13.5703125" customWidth="1" style="76" min="3" max="3"/>
    <col width="12.140625" customWidth="1" style="76" min="4" max="6"/>
    <col width="13.5703125" customWidth="1" style="76" min="7" max="7"/>
    <col width="12.140625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PG29</t>
        </is>
      </c>
      <c r="D2" t="inlineStr">
        <is>
          <t>Suma de P38</t>
        </is>
      </c>
      <c r="E2" t="inlineStr">
        <is>
          <t>Suma de P30</t>
        </is>
      </c>
      <c r="F2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44088</v>
      </c>
      <c r="B3" s="25" t="n">
        <v>0.5222639633169438</v>
      </c>
      <c r="C3" s="25" t="n">
        <v>0.5419244793105353</v>
      </c>
      <c r="D3" s="25" t="n">
        <v>0.4925026225394409</v>
      </c>
      <c r="E3" s="25" t="n">
        <v>0.5192298990065203</v>
      </c>
      <c r="F3" s="25" t="n">
        <v>0.4403493976729677</v>
      </c>
      <c r="G3" s="25" t="n">
        <v>0.4999794528991959</v>
      </c>
      <c r="H3" s="25" t="n">
        <v>0.4458550164208679</v>
      </c>
    </row>
    <row r="4">
      <c r="A4" s="36" t="n">
        <v>44089</v>
      </c>
      <c r="B4" s="25" t="n">
        <v>0.5182167223710742</v>
      </c>
      <c r="C4" s="25" t="n">
        <v>0.5419095102615805</v>
      </c>
      <c r="D4" s="25" t="n">
        <v>0.4839922798188568</v>
      </c>
      <c r="E4" s="25" t="n">
        <v>0.5113200755563021</v>
      </c>
      <c r="F4" s="25" t="n">
        <v>0.4314388264776159</v>
      </c>
      <c r="G4" s="25" t="n">
        <v>0.4999777407170229</v>
      </c>
      <c r="H4" s="25" t="n">
        <v>0.4459535897813872</v>
      </c>
    </row>
    <row r="5">
      <c r="A5" s="36" t="n">
        <v>44090</v>
      </c>
      <c r="B5" s="25" t="n">
        <v>0.4924939233233897</v>
      </c>
      <c r="C5" s="25" t="n">
        <v>0.5141697050049718</v>
      </c>
      <c r="D5" s="25" t="n">
        <v>0.4519581493568823</v>
      </c>
      <c r="E5" s="25" t="n">
        <v>0.4800866631928256</v>
      </c>
      <c r="F5" s="25" t="n">
        <v>0.4104160381756849</v>
      </c>
      <c r="G5" s="25" t="n">
        <v>0.4809769394618066</v>
      </c>
      <c r="H5" s="25" t="n">
        <v>0.4194251707210048</v>
      </c>
    </row>
    <row r="6">
      <c r="A6" s="36" t="n">
        <v>44091</v>
      </c>
      <c r="B6" s="25" t="n">
        <v>0.4890526170418451</v>
      </c>
      <c r="C6" s="25" t="n">
        <v>0.4840118768125949</v>
      </c>
      <c r="D6" s="25" t="n">
        <v>0.4429474983287911</v>
      </c>
      <c r="E6" s="25" t="n">
        <v>0.4694742976637356</v>
      </c>
      <c r="F6" s="25" t="n">
        <v>0.400404518263314</v>
      </c>
      <c r="G6" s="25" t="n">
        <v>0.4624762426587675</v>
      </c>
      <c r="H6" s="25" t="n">
        <v>0.417922215937334</v>
      </c>
    </row>
    <row r="7">
      <c r="A7" s="36" t="n">
        <v>44092</v>
      </c>
      <c r="B7" s="25" t="n">
        <v>0.4874261172181407</v>
      </c>
      <c r="C7" s="25" t="n">
        <v>0.4884342374192123</v>
      </c>
      <c r="D7" s="25" t="n">
        <v>0.4429459798564308</v>
      </c>
      <c r="E7" s="25" t="n">
        <v>0.4714747039827772</v>
      </c>
      <c r="F7" s="25" t="n">
        <v>0.4004031456329318</v>
      </c>
      <c r="G7" s="25" t="n">
        <v>0.4688743082570818</v>
      </c>
      <c r="H7" s="25" t="n">
        <v>0.4164192714582491</v>
      </c>
    </row>
    <row r="8">
      <c r="A8" s="36" t="n">
        <v>44095</v>
      </c>
      <c r="B8" s="25" t="n">
        <v>0.4778093844071916</v>
      </c>
      <c r="C8" s="25" t="n">
        <v>0.4737772377033334</v>
      </c>
      <c r="D8" s="25" t="n">
        <v>0.4339324463763545</v>
      </c>
      <c r="E8" s="25" t="n">
        <v>0.4616600790513834</v>
      </c>
      <c r="F8" s="25" t="n">
        <v>0.3863850618253122</v>
      </c>
      <c r="G8" s="25" t="n">
        <v>0.4574702331012708</v>
      </c>
      <c r="H8" s="25" t="n">
        <v>0.4028014219650405</v>
      </c>
    </row>
    <row r="9">
      <c r="A9" s="36" t="n">
        <v>44096</v>
      </c>
      <c r="B9" s="25" t="n">
        <v>0.4687241093620547</v>
      </c>
      <c r="C9" s="25" t="n">
        <v>0.4737641535487435</v>
      </c>
      <c r="D9" s="25" t="n">
        <v>0.4269239998628775</v>
      </c>
      <c r="E9" s="25" t="n">
        <v>0.4543512392444551</v>
      </c>
      <c r="F9" s="25" t="n">
        <v>0.3778752871002022</v>
      </c>
      <c r="G9" s="25" t="n">
        <v>0.4532689541812204</v>
      </c>
      <c r="H9" s="25" t="n">
        <v>0.3853827431353056</v>
      </c>
    </row>
    <row r="10">
      <c r="A10" s="36" t="n">
        <v>44097</v>
      </c>
      <c r="B10" s="25" t="n">
        <v>0.4797989561183066</v>
      </c>
      <c r="C10" s="25" t="n">
        <v>0.4747590511170639</v>
      </c>
      <c r="D10" s="25" t="n">
        <v>0.4304260038188481</v>
      </c>
      <c r="E10" s="25" t="n">
        <v>0.4659611739015669</v>
      </c>
      <c r="F10" s="25" t="n">
        <v>0.3858819173771301</v>
      </c>
      <c r="G10" s="25" t="n">
        <v>0.4629667044493375</v>
      </c>
      <c r="H10" s="25" t="n">
        <v>0.3978938058557956</v>
      </c>
    </row>
    <row r="11">
      <c r="A11" s="36" t="n">
        <v>44098</v>
      </c>
      <c r="B11" s="25" t="n">
        <v>0.4794833204462609</v>
      </c>
      <c r="C11" s="25" t="n">
        <v>0.4818016127250635</v>
      </c>
      <c r="D11" s="25" t="n">
        <v>0.4344284774023695</v>
      </c>
      <c r="E11" s="25" t="n">
        <v>0.4604541465555068</v>
      </c>
      <c r="F11" s="25" t="n">
        <v>0.3948894800351032</v>
      </c>
      <c r="G11" s="25" t="n">
        <v>0.4569655710871099</v>
      </c>
      <c r="H11" s="25" t="n">
        <v>0.4194136682755594</v>
      </c>
    </row>
    <row r="12">
      <c r="A12" s="36" t="n">
        <v>44099</v>
      </c>
      <c r="B12" s="25" t="n">
        <v>0.4680805235688841</v>
      </c>
      <c r="C12" s="25" t="n">
        <v>0.4838041587275288</v>
      </c>
      <c r="D12" s="25" t="n">
        <v>0.4293219705669614</v>
      </c>
      <c r="E12" s="25" t="n">
        <v>0.4524446973566485</v>
      </c>
      <c r="F12" s="25" t="n">
        <v>0.4003935374837597</v>
      </c>
      <c r="G12" s="25" t="n">
        <v>0.4528643291795509</v>
      </c>
      <c r="H12" s="25" t="n">
        <v>0.4154082951394007</v>
      </c>
    </row>
    <row r="13">
      <c r="A13" s="36" t="n">
        <v>44102</v>
      </c>
      <c r="B13" s="25" t="n">
        <v>0.4665299867461895</v>
      </c>
      <c r="C13" s="25" t="n">
        <v>0.48678760768721</v>
      </c>
      <c r="D13" s="25" t="n">
        <v>0.4247130771023873</v>
      </c>
      <c r="E13" s="25" t="n">
        <v>0.449437123777921</v>
      </c>
      <c r="F13" s="25" t="n">
        <v>0.3953845520986164</v>
      </c>
      <c r="G13" s="25" t="n">
        <v>0.4484600686240267</v>
      </c>
      <c r="H13" s="25" t="n">
        <v>0.4103991553428677</v>
      </c>
    </row>
    <row r="14">
      <c r="A14" s="36" t="n">
        <v>44103</v>
      </c>
      <c r="B14" s="25" t="n">
        <v>0.4635944445978408</v>
      </c>
      <c r="C14" s="25" t="n">
        <v>0.4787116547477704</v>
      </c>
      <c r="D14" s="25" t="n">
        <v>0.4184055094492264</v>
      </c>
      <c r="E14" s="25" t="n">
        <v>0.4471333518444246</v>
      </c>
      <c r="F14" s="25" t="n">
        <v>0.3907787341841579</v>
      </c>
      <c r="G14" s="25" t="n">
        <v>0.4446588842812479</v>
      </c>
      <c r="H14" s="25" t="n">
        <v>0.3993870772015343</v>
      </c>
    </row>
    <row r="15">
      <c r="A15" s="36" t="n">
        <v>44104</v>
      </c>
      <c r="B15" s="25" t="n">
        <v>0.4621707438290353</v>
      </c>
      <c r="C15" s="25" t="n">
        <v>0.4827295819758131</v>
      </c>
      <c r="D15" s="25" t="n">
        <v>0.4244098752905203</v>
      </c>
      <c r="E15" s="25" t="n">
        <v>0.4464311424046511</v>
      </c>
      <c r="F15" s="25" t="n">
        <v>0.3905772012697194</v>
      </c>
      <c r="G15" s="25" t="n">
        <v>0.4470571315079376</v>
      </c>
      <c r="H15" s="25" t="n">
        <v>0.4077938282862216</v>
      </c>
    </row>
    <row r="16">
      <c r="A16" s="36" t="n">
        <v>44105</v>
      </c>
      <c r="B16" s="25" t="n">
        <v>0.4660882409784919</v>
      </c>
      <c r="C16" s="25" t="n">
        <v>0.486948839007151</v>
      </c>
      <c r="D16" s="25" t="n">
        <v>0.4294132367106702</v>
      </c>
      <c r="E16" s="25" t="n">
        <v>0.4474305753139151</v>
      </c>
      <c r="F16" s="25" t="n">
        <v>0.3983833757828595</v>
      </c>
      <c r="G16" s="25" t="n">
        <v>0.4439559084885405</v>
      </c>
      <c r="H16" s="25" t="n">
        <v>0.4083930083402178</v>
      </c>
    </row>
    <row r="17">
      <c r="A17" s="36" t="n">
        <v>44106</v>
      </c>
      <c r="B17" s="25" t="n">
        <v>0.4580135284373275</v>
      </c>
      <c r="C17" s="25" t="n">
        <v>0.4768580894533407</v>
      </c>
      <c r="D17" s="25" t="n">
        <v>0.421904566022213</v>
      </c>
      <c r="E17" s="25" t="n">
        <v>0.4434252022487316</v>
      </c>
      <c r="F17" s="25" t="n">
        <v>0.4003839297956945</v>
      </c>
      <c r="G17" s="25" t="n">
        <v>0.4398548094373866</v>
      </c>
      <c r="H17" s="25" t="n">
        <v>0.4008844097079391</v>
      </c>
    </row>
    <row r="18">
      <c r="A18" s="36" t="n">
        <v>44109</v>
      </c>
      <c r="B18" s="25" t="n">
        <v>0.4573710073710074</v>
      </c>
      <c r="C18" s="25" t="n">
        <v>0.4835698313226403</v>
      </c>
      <c r="D18" s="25" t="n">
        <v>0.416895479615937</v>
      </c>
      <c r="E18" s="25" t="n">
        <v>0.4444215917154287</v>
      </c>
      <c r="F18" s="25" t="n">
        <v>0.400379812356242</v>
      </c>
      <c r="G18" s="25" t="n">
        <v>0.4344509010967939</v>
      </c>
      <c r="H18" s="25" t="n">
        <v>0.395375064701789</v>
      </c>
    </row>
    <row r="19">
      <c r="A19" s="36" t="n">
        <v>44110</v>
      </c>
      <c r="B19" s="25" t="n">
        <v>0.4564515238515901</v>
      </c>
      <c r="C19" s="25" t="n">
        <v>0.4796267667844523</v>
      </c>
      <c r="D19" s="25" t="n">
        <v>0.4143916852915769</v>
      </c>
      <c r="E19" s="25" t="n">
        <v>0.4449205413335893</v>
      </c>
      <c r="F19" s="25" t="n">
        <v>0.4002783452852697</v>
      </c>
      <c r="G19" s="25" t="n">
        <v>0.4399487730880651</v>
      </c>
      <c r="H19" s="25" t="n">
        <v>0.3999780614553482</v>
      </c>
    </row>
    <row r="20">
      <c r="A20" s="36" t="n">
        <v>44111</v>
      </c>
      <c r="B20" s="25" t="n">
        <v>0.4578495514147688</v>
      </c>
      <c r="C20" s="25" t="n">
        <v>0.4806211180124224</v>
      </c>
      <c r="D20" s="25" t="n">
        <v>0.4163921501414003</v>
      </c>
      <c r="E20" s="25" t="n">
        <v>0.4484223155368926</v>
      </c>
      <c r="F20" s="25" t="n">
        <v>0.399376124775045</v>
      </c>
      <c r="G20" s="25" t="n">
        <v>0.4449466673515161</v>
      </c>
      <c r="H20" s="25" t="n">
        <v>0.4013780101122633</v>
      </c>
    </row>
    <row r="21">
      <c r="A21" s="36" t="n">
        <v>44112</v>
      </c>
      <c r="B21" s="25" t="n">
        <v>0.456627836360625</v>
      </c>
      <c r="C21" s="25" t="n">
        <v>0.4911872688124552</v>
      </c>
      <c r="D21" s="25" t="n">
        <v>0.414789220021527</v>
      </c>
      <c r="E21" s="25" t="n">
        <v>0.4474198391641472</v>
      </c>
      <c r="F21" s="25" t="n">
        <v>0.3953709988139555</v>
      </c>
      <c r="G21" s="25" t="n">
        <v>0.447944773931981</v>
      </c>
      <c r="H21" s="25" t="n">
        <v>0.3991745679164696</v>
      </c>
    </row>
    <row r="22">
      <c r="A22" s="36" t="n">
        <v>44113</v>
      </c>
      <c r="B22" s="25" t="n">
        <v>0.4597385927623044</v>
      </c>
      <c r="C22" s="25" t="n">
        <v>0.4896624064923952</v>
      </c>
      <c r="D22" s="25" t="n">
        <v>0.4159889211488824</v>
      </c>
      <c r="E22" s="25" t="n">
        <v>0.447718586212452</v>
      </c>
      <c r="F22" s="25" t="n">
        <v>0.3953696435365942</v>
      </c>
      <c r="G22" s="25" t="n">
        <v>0.4501429613370909</v>
      </c>
      <c r="H22" s="25" t="n">
        <v>0.4003743225687029</v>
      </c>
    </row>
    <row r="23">
      <c r="A23" s="36" t="n">
        <v>44117</v>
      </c>
      <c r="B23" s="25" t="n">
        <v>0.4578744721371202</v>
      </c>
      <c r="C23" s="25" t="n">
        <v>0.4875934972813337</v>
      </c>
      <c r="D23" s="25" t="n">
        <v>0.4159832174160443</v>
      </c>
      <c r="E23" s="25" t="n">
        <v>0.447812539634115</v>
      </c>
      <c r="F23" s="25" t="n">
        <v>0.3928619173142381</v>
      </c>
      <c r="G23" s="25" t="n">
        <v>0.4500368098999798</v>
      </c>
      <c r="H23" s="25" t="n">
        <v>0.3973660666847199</v>
      </c>
    </row>
    <row r="24">
      <c r="A24" s="36" t="n">
        <v>44118</v>
      </c>
      <c r="B24" s="25" t="n">
        <v>0.4523211525723118</v>
      </c>
      <c r="C24" s="25" t="n">
        <v>0.4875800397438728</v>
      </c>
      <c r="D24" s="25" t="n">
        <v>0.411177381980722</v>
      </c>
      <c r="E24" s="25" t="n">
        <v>0.4449083405317209</v>
      </c>
      <c r="F24" s="25" t="n">
        <v>0.3823509248214115</v>
      </c>
      <c r="G24" s="25" t="n">
        <v>0.4549345642065182</v>
      </c>
      <c r="H24" s="25" t="n">
        <v>0.3941617649075179</v>
      </c>
    </row>
    <row r="25">
      <c r="A25" s="36" t="n">
        <v>44119</v>
      </c>
      <c r="B25" s="25" t="n">
        <v>0.448883614384677</v>
      </c>
      <c r="C25" s="25" t="n">
        <v>0.4680236248723539</v>
      </c>
      <c r="D25" s="25" t="n">
        <v>0.4042696575293162</v>
      </c>
      <c r="E25" s="25" t="n">
        <v>0.4444063578683248</v>
      </c>
      <c r="F25" s="25" t="n">
        <v>0.3653340554548166</v>
      </c>
      <c r="G25" s="25" t="n">
        <v>0.4449344788267481</v>
      </c>
      <c r="H25" s="25" t="n">
        <v>0.3803477837611789</v>
      </c>
    </row>
    <row r="26">
      <c r="A26" s="36" t="n">
        <v>44120</v>
      </c>
      <c r="B26" s="25" t="n">
        <v>0.4462521388750897</v>
      </c>
      <c r="C26" s="25" t="n">
        <v>0.4734503504995308</v>
      </c>
      <c r="D26" s="25" t="n">
        <v>0.3983628922237381</v>
      </c>
      <c r="E26" s="25" t="n">
        <v>0.4423029197830901</v>
      </c>
      <c r="F26" s="25" t="n">
        <v>0.3583264206434629</v>
      </c>
      <c r="G26" s="25" t="n">
        <v>0.4429332566325622</v>
      </c>
      <c r="H26" s="25" t="n">
        <v>0.3770434711072416</v>
      </c>
    </row>
    <row r="27">
      <c r="A27" s="36" t="n">
        <v>44123</v>
      </c>
      <c r="B27" s="25" t="n">
        <v>0.4382578579904517</v>
      </c>
      <c r="C27" s="25" t="n">
        <v>0.4542732566161658</v>
      </c>
      <c r="D27" s="25" t="n">
        <v>0.3888502315441648</v>
      </c>
      <c r="E27" s="25" t="n">
        <v>0.4338907989044928</v>
      </c>
      <c r="F27" s="25" t="n">
        <v>0.3583227358888313</v>
      </c>
      <c r="G27" s="25" t="n">
        <v>0.4379295113457765</v>
      </c>
      <c r="H27" s="25" t="n">
        <v>0.3598240881341757</v>
      </c>
    </row>
    <row r="28">
      <c r="A28" s="36" t="n">
        <v>44124</v>
      </c>
      <c r="B28" s="25" t="n">
        <v>0.4200149014846294</v>
      </c>
      <c r="C28" s="25" t="n">
        <v>0.4482173409128539</v>
      </c>
      <c r="D28" s="25" t="n">
        <v>0.3783394689755877</v>
      </c>
      <c r="E28" s="25" t="n">
        <v>0.4141716197410005</v>
      </c>
      <c r="F28" s="25" t="n">
        <v>0.3483125269933982</v>
      </c>
      <c r="G28" s="25" t="n">
        <v>0.4169314633210979</v>
      </c>
      <c r="H28" s="25" t="n">
        <v>0.3607236630127031</v>
      </c>
    </row>
    <row r="29">
      <c r="A29" s="36" t="n">
        <v>44125</v>
      </c>
      <c r="B29" s="25" t="n">
        <v>0.4147658599850989</v>
      </c>
      <c r="C29" s="25" t="n">
        <v>0.4461905681724109</v>
      </c>
      <c r="D29" s="25" t="n">
        <v>0.3678287784629412</v>
      </c>
      <c r="E29" s="25" t="n">
        <v>0.4033605380151437</v>
      </c>
      <c r="F29" s="25" t="n">
        <v>0.3398037286752886</v>
      </c>
      <c r="G29" s="25" t="n">
        <v>0.4054319651839246</v>
      </c>
      <c r="H29" s="25" t="n">
        <v>0.3453086491692917</v>
      </c>
    </row>
    <row r="30">
      <c r="A30" s="36" t="n">
        <v>44126</v>
      </c>
      <c r="B30" s="25" t="n">
        <v>0.4240204194260486</v>
      </c>
      <c r="C30" s="25" t="n">
        <v>0.4834437086092715</v>
      </c>
      <c r="D30" s="25" t="n">
        <v>0.3777363405772263</v>
      </c>
      <c r="E30" s="25" t="n">
        <v>0.4013573730033592</v>
      </c>
      <c r="F30" s="25" t="n">
        <v>0.3463083567560156</v>
      </c>
      <c r="G30" s="25" t="n">
        <v>0.4149289505221709</v>
      </c>
      <c r="H30" s="25" t="n">
        <v>0.3503119215740043</v>
      </c>
    </row>
    <row r="31">
      <c r="A31" s="36" t="n">
        <v>44127</v>
      </c>
      <c r="B31" s="25" t="n">
        <v>0.4397202063960707</v>
      </c>
      <c r="C31" s="25" t="n">
        <v>0.4935018349383295</v>
      </c>
      <c r="D31" s="25" t="n">
        <v>0.3731309620519571</v>
      </c>
      <c r="E31" s="25" t="n">
        <v>0.4018564411584247</v>
      </c>
      <c r="F31" s="25" t="n">
        <v>0.3418031747337535</v>
      </c>
      <c r="G31" s="25" t="n">
        <v>0.4249257835104143</v>
      </c>
      <c r="H31" s="25" t="n">
        <v>0.3548147157924323</v>
      </c>
    </row>
    <row r="32">
      <c r="A32" s="36" t="n">
        <v>44130</v>
      </c>
      <c r="B32" s="25" t="n">
        <v>0.4084648493543759</v>
      </c>
      <c r="C32" s="25" t="n">
        <v>0.4733197218850017</v>
      </c>
      <c r="D32" s="25" t="n">
        <v>0.3603158933859822</v>
      </c>
      <c r="E32" s="25" t="n">
        <v>0.3826354612262806</v>
      </c>
      <c r="F32" s="25" t="n">
        <v>0.3342930788636613</v>
      </c>
      <c r="G32" s="25" t="n">
        <v>0.4049251165880283</v>
      </c>
      <c r="H32" s="25" t="n">
        <v>0.3423000987166832</v>
      </c>
    </row>
    <row r="33">
      <c r="A33" s="36" t="n">
        <v>44131</v>
      </c>
      <c r="B33" s="25" t="n">
        <v>0.4330252448613602</v>
      </c>
      <c r="C33" s="25" t="n">
        <v>0.4531659539246793</v>
      </c>
      <c r="D33" s="25" t="n">
        <v>0.3663199026547156</v>
      </c>
      <c r="E33" s="25" t="n">
        <v>0.3925428027901078</v>
      </c>
      <c r="F33" s="25" t="n">
        <v>0.3402971773295172</v>
      </c>
      <c r="G33" s="25" t="n">
        <v>0.4049237301193269</v>
      </c>
      <c r="H33" s="25" t="n">
        <v>0.3523076659411473</v>
      </c>
    </row>
    <row r="34">
      <c r="A34" s="36" t="n">
        <v>44132</v>
      </c>
      <c r="B34" s="25" t="n">
        <v>0.4450973900568339</v>
      </c>
      <c r="C34" s="25" t="n">
        <v>0.4833636815096838</v>
      </c>
      <c r="D34" s="25" t="n">
        <v>0.3613142939406196</v>
      </c>
      <c r="E34" s="25" t="n">
        <v>0.388337800689641</v>
      </c>
      <c r="F34" s="25" t="n">
        <v>0.3381941826109012</v>
      </c>
      <c r="G34" s="25" t="n">
        <v>0.40492234366012</v>
      </c>
      <c r="H34" s="25" t="n">
        <v>0.3503047171169442</v>
      </c>
    </row>
    <row r="35">
      <c r="A35" s="36" t="n">
        <v>44133</v>
      </c>
      <c r="B35" s="25" t="n">
        <v>0.4576723590917869</v>
      </c>
      <c r="C35" s="25" t="n">
        <v>0.4702596076916711</v>
      </c>
      <c r="D35" s="25" t="n">
        <v>0.3612129687708872</v>
      </c>
      <c r="E35" s="25" t="n">
        <v>0.3877359492985361</v>
      </c>
      <c r="F35" s="25" t="n">
        <v>0.3367918093416556</v>
      </c>
      <c r="G35" s="25" t="n">
        <v>0.3957227527503193</v>
      </c>
      <c r="H35" s="25" t="n">
        <v>0.350403603121883</v>
      </c>
    </row>
    <row r="36">
      <c r="A36" s="36" t="n">
        <v>44134</v>
      </c>
      <c r="B36" s="25" t="n">
        <v>0.4521214963584197</v>
      </c>
      <c r="C36" s="25" t="n">
        <v>0.4682327300816597</v>
      </c>
      <c r="D36" s="25" t="n">
        <v>0.3601107805366275</v>
      </c>
      <c r="E36" s="25" t="n">
        <v>0.3808286603507136</v>
      </c>
      <c r="F36" s="25" t="n">
        <v>0.3352893593100895</v>
      </c>
      <c r="G36" s="25" t="n">
        <v>0.3984208616096803</v>
      </c>
      <c r="H36" s="25" t="n">
        <v>0.3513031794562431</v>
      </c>
    </row>
    <row r="37">
      <c r="A37" s="36" t="n">
        <v>44137</v>
      </c>
      <c r="B37" s="25" t="n">
        <v>0.4401023420043585</v>
      </c>
      <c r="C37" s="25" t="n">
        <v>0.4513792722959367</v>
      </c>
      <c r="D37" s="25" t="n">
        <v>0.3628093819729838</v>
      </c>
      <c r="E37" s="25" t="n">
        <v>0.386729779846513</v>
      </c>
      <c r="F37" s="25" t="n">
        <v>0.3362867650839243</v>
      </c>
      <c r="G37" s="25" t="n">
        <v>0.4046154741646437</v>
      </c>
      <c r="H37" s="25" t="n">
        <v>0.3508992257095949</v>
      </c>
    </row>
    <row r="38">
      <c r="A38" s="36" t="n">
        <v>44138</v>
      </c>
      <c r="B38" s="25" t="n">
        <v>0.4510647688403398</v>
      </c>
      <c r="C38" s="25" t="n">
        <v>0.4506620324395895</v>
      </c>
      <c r="D38" s="25" t="n">
        <v>0.3688132386410376</v>
      </c>
      <c r="E38" s="25" t="n">
        <v>0.384126244207409</v>
      </c>
      <c r="F38" s="25" t="n">
        <v>0.3404891825934355</v>
      </c>
      <c r="G38" s="25" t="n">
        <v>0.411412645260253</v>
      </c>
      <c r="H38" s="25" t="n">
        <v>0.3553017631412981</v>
      </c>
    </row>
    <row r="39">
      <c r="A39" s="36" t="n">
        <v>44139</v>
      </c>
      <c r="B39" s="25" t="n">
        <v>0.4520591399332469</v>
      </c>
      <c r="C39" s="25" t="n">
        <v>0.4575966126941219</v>
      </c>
      <c r="D39" s="25" t="n">
        <v>0.3728153609388764</v>
      </c>
      <c r="E39" s="25" t="n">
        <v>0.3842250122535158</v>
      </c>
      <c r="F39" s="25" t="n">
        <v>0.3402878462260885</v>
      </c>
      <c r="G39" s="25" t="n">
        <v>0.4091117327425932</v>
      </c>
      <c r="H39" s="25" t="n">
        <v>0.3563013919308456</v>
      </c>
    </row>
    <row r="40">
      <c r="A40" s="36" t="n">
        <v>44140</v>
      </c>
      <c r="B40" s="25" t="n">
        <v>0.4580873834611353</v>
      </c>
      <c r="C40" s="25" t="n">
        <v>0.4681552380426988</v>
      </c>
      <c r="D40" s="25" t="n">
        <v>0.3743153478615546</v>
      </c>
      <c r="E40" s="25" t="n">
        <v>0.3802203226005471</v>
      </c>
      <c r="F40" s="25" t="n">
        <v>0.346391823248353</v>
      </c>
      <c r="G40" s="25" t="n">
        <v>0.4064109236331763</v>
      </c>
      <c r="H40" s="25" t="n">
        <v>0.3628056513363999</v>
      </c>
    </row>
    <row r="41">
      <c r="A41" s="36" t="n">
        <v>44141</v>
      </c>
      <c r="B41" s="25" t="n">
        <v>0.4571686663908426</v>
      </c>
      <c r="C41" s="25" t="n">
        <v>0.4590815059991725</v>
      </c>
      <c r="D41" s="25" t="n">
        <v>0.3741138969340714</v>
      </c>
      <c r="E41" s="25" t="n">
        <v>0.3803191033572689</v>
      </c>
      <c r="F41" s="25" t="n">
        <v>0.3461904680296825</v>
      </c>
      <c r="G41" s="25" t="n">
        <v>0.4049098659544964</v>
      </c>
      <c r="H41" s="25" t="n">
        <v>0.3583006289523744</v>
      </c>
    </row>
    <row r="42">
      <c r="A42" s="36" t="n">
        <v>44144</v>
      </c>
      <c r="B42" s="25" t="n">
        <v>0.4600501958188538</v>
      </c>
      <c r="C42" s="25" t="n">
        <v>0.4630702189861548</v>
      </c>
      <c r="D42" s="25" t="n">
        <v>0.379314363273672</v>
      </c>
      <c r="E42" s="25" t="n">
        <v>0.3838180958191378</v>
      </c>
      <c r="F42" s="25" t="n">
        <v>0.3477882354554117</v>
      </c>
      <c r="G42" s="25" t="n">
        <v>0.4163030527137516</v>
      </c>
      <c r="H42" s="25" t="n">
        <v>0.3728089718191104</v>
      </c>
    </row>
    <row r="43">
      <c r="A43" s="36" t="n">
        <v>44145</v>
      </c>
      <c r="B43" s="25" t="n">
        <v>0.4545009514879064</v>
      </c>
      <c r="C43" s="25" t="n">
        <v>0.4679900162718222</v>
      </c>
      <c r="D43" s="25" t="n">
        <v>0.3853180193241683</v>
      </c>
      <c r="E43" s="25" t="n">
        <v>0.3843171932999496</v>
      </c>
      <c r="F43" s="25" t="n">
        <v>0.3522907605249538</v>
      </c>
      <c r="G43" s="25" t="n">
        <v>0.4149019580989424</v>
      </c>
      <c r="H43" s="25" t="n">
        <v>0.3713064549851076</v>
      </c>
    </row>
    <row r="44">
      <c r="A44" s="36" t="n">
        <v>44146</v>
      </c>
      <c r="B44" s="25" t="n">
        <v>0.4509652509652509</v>
      </c>
      <c r="C44" s="25" t="n">
        <v>0.4650579150579151</v>
      </c>
      <c r="D44" s="25" t="n">
        <v>0.3848162873594735</v>
      </c>
      <c r="E44" s="25" t="n">
        <v>0.3923224568138196</v>
      </c>
      <c r="F44" s="25" t="n">
        <v>0.3541911159857417</v>
      </c>
      <c r="G44" s="25" t="n">
        <v>0.4188995788680795</v>
      </c>
      <c r="H44" s="25" t="n">
        <v>0.3733068275294762</v>
      </c>
    </row>
    <row r="45">
      <c r="A45" s="36" t="n">
        <v>44147</v>
      </c>
      <c r="B45" s="25" t="n">
        <v>0.4429000854912992</v>
      </c>
      <c r="C45" s="25" t="n">
        <v>0.4655483853175588</v>
      </c>
      <c r="D45" s="25" t="n">
        <v>0.3903194738158973</v>
      </c>
      <c r="E45" s="25" t="n">
        <v>0.3950233238849606</v>
      </c>
      <c r="F45" s="25" t="n">
        <v>0.3567920318342753</v>
      </c>
      <c r="G45" s="25" t="n">
        <v>0.4223972938086972</v>
      </c>
      <c r="H45" s="25" t="n">
        <v>0.3662998138887651</v>
      </c>
    </row>
    <row r="46">
      <c r="A46" s="36" t="n">
        <v>44148</v>
      </c>
      <c r="B46" s="25" t="n">
        <v>0.4529535050466053</v>
      </c>
      <c r="C46" s="25" t="n">
        <v>0.4655355468534554</v>
      </c>
      <c r="D46" s="25" t="n">
        <v>0.3970236014285616</v>
      </c>
      <c r="E46" s="25" t="n">
        <v>0.3993254776153166</v>
      </c>
      <c r="F46" s="25" t="n">
        <v>0.3591927667071106</v>
      </c>
      <c r="G46" s="25" t="n">
        <v>0.424895231312827</v>
      </c>
      <c r="H46" s="25" t="n">
        <v>0.3686004346008048</v>
      </c>
    </row>
    <row r="47">
      <c r="A47" s="36" t="n">
        <v>44151</v>
      </c>
      <c r="B47" s="25" t="n">
        <v>0.4529160347442437</v>
      </c>
      <c r="C47" s="25" t="n">
        <v>0.463081483524059</v>
      </c>
      <c r="D47" s="25" t="n">
        <v>0.3983205662091066</v>
      </c>
      <c r="E47" s="25" t="n">
        <v>0.4029242712456943</v>
      </c>
      <c r="F47" s="25" t="n">
        <v>0.3620914091820472</v>
      </c>
      <c r="G47" s="25" t="n">
        <v>0.4282899940083883</v>
      </c>
      <c r="H47" s="25" t="n">
        <v>0.3728000274193272</v>
      </c>
    </row>
    <row r="48">
      <c r="A48" s="36" t="n">
        <v>44152</v>
      </c>
      <c r="B48" s="25" t="n">
        <v>0.4433422489383996</v>
      </c>
      <c r="C48" s="25" t="n">
        <v>0.4599487122925054</v>
      </c>
      <c r="D48" s="25" t="n">
        <v>0.3968179979846864</v>
      </c>
      <c r="E48" s="25" t="n">
        <v>0.4021222486513165</v>
      </c>
      <c r="F48" s="25" t="n">
        <v>0.3582871205006752</v>
      </c>
      <c r="G48" s="25" t="n">
        <v>0.4167915200153384</v>
      </c>
      <c r="H48" s="25" t="n">
        <v>0.3722983486766793</v>
      </c>
    </row>
    <row r="49">
      <c r="A49" s="36" t="n">
        <v>44153</v>
      </c>
      <c r="B49" s="25" t="n">
        <v>0.4377946893870461</v>
      </c>
      <c r="C49" s="25" t="n">
        <v>0.4478589351200816</v>
      </c>
      <c r="D49" s="25" t="n">
        <v>0.3943146414776174</v>
      </c>
      <c r="E49" s="25" t="n">
        <v>0.3977173566578812</v>
      </c>
      <c r="F49" s="25" t="n">
        <v>0.3567846946364736</v>
      </c>
      <c r="G49" s="25" t="n">
        <v>0.4139908311849272</v>
      </c>
      <c r="H49" s="25" t="n">
        <v>0.3752994684114379</v>
      </c>
    </row>
    <row r="50">
      <c r="A50" s="36" t="n">
        <v>44154</v>
      </c>
      <c r="B50" s="25" t="n">
        <v>0.4257058564023381</v>
      </c>
      <c r="C50" s="25" t="n">
        <v>0.4478465865225543</v>
      </c>
      <c r="D50" s="25" t="n">
        <v>0.3903101094019906</v>
      </c>
      <c r="E50" s="25" t="n">
        <v>0.3946135285569357</v>
      </c>
      <c r="F50" s="25" t="n">
        <v>0.3527802911902608</v>
      </c>
      <c r="G50" s="25" t="n">
        <v>0.4088907757516828</v>
      </c>
      <c r="H50" s="25" t="n">
        <v>0.3691933316881906</v>
      </c>
    </row>
    <row r="51">
      <c r="A51" s="36" t="n">
        <v>44155</v>
      </c>
      <c r="B51" s="25" t="n">
        <v>0.4246877498690342</v>
      </c>
      <c r="C51" s="25" t="n">
        <v>0.4429030301359287</v>
      </c>
      <c r="D51" s="25" t="n">
        <v>0.3882071090485967</v>
      </c>
      <c r="E51" s="25" t="n">
        <v>0.390809167526365</v>
      </c>
      <c r="F51" s="25" t="n">
        <v>0.3522786862209488</v>
      </c>
      <c r="G51" s="25" t="n">
        <v>0.4083895110569401</v>
      </c>
      <c r="H51" s="25" t="n">
        <v>0.3677909579153371</v>
      </c>
    </row>
    <row r="52">
      <c r="A52" s="36" t="n">
        <v>44159</v>
      </c>
      <c r="B52" s="25" t="n">
        <v>0.4291690789292311</v>
      </c>
      <c r="C52" s="25" t="n">
        <v>0.4458729633611778</v>
      </c>
      <c r="D52" s="25" t="n">
        <v>0.3807960297902822</v>
      </c>
      <c r="E52" s="25" t="n">
        <v>0.3888022538068979</v>
      </c>
      <c r="F52" s="25" t="n">
        <v>0.350272300726935</v>
      </c>
      <c r="G52" s="25" t="n">
        <v>0.4118829236894992</v>
      </c>
      <c r="H52" s="25" t="n">
        <v>0.3620814811514431</v>
      </c>
    </row>
    <row r="53">
      <c r="A53" s="36" t="n">
        <v>44160</v>
      </c>
      <c r="B53" s="25" t="n">
        <v>0.4366033522633291</v>
      </c>
      <c r="C53" s="25" t="n">
        <v>0.4528036610244252</v>
      </c>
      <c r="D53" s="25" t="n">
        <v>0.3802943373981232</v>
      </c>
      <c r="E53" s="25" t="n">
        <v>0.3923036322633272</v>
      </c>
      <c r="F53" s="25" t="n">
        <v>0.3542656992744558</v>
      </c>
      <c r="G53" s="25" t="n">
        <v>0.4158803631831939</v>
      </c>
      <c r="H53" s="25" t="n">
        <v>0.364281944244518</v>
      </c>
    </row>
    <row r="54">
      <c r="A54" s="36" t="n">
        <v>44161</v>
      </c>
      <c r="B54" s="25" t="n">
        <v>0.4346795313576844</v>
      </c>
      <c r="C54" s="25" t="n">
        <v>0.4537973811164714</v>
      </c>
      <c r="D54" s="25" t="n">
        <v>0.3753892554194156</v>
      </c>
      <c r="E54" s="25" t="n">
        <v>0.3903007454374089</v>
      </c>
      <c r="F54" s="25" t="n">
        <v>0.3492691286093736</v>
      </c>
      <c r="G54" s="25" t="n">
        <v>0.4118801033945598</v>
      </c>
      <c r="H54" s="25" t="n">
        <v>0.357375374860766</v>
      </c>
    </row>
    <row r="55">
      <c r="A55" s="36" t="n">
        <v>44162</v>
      </c>
      <c r="B55" s="25" t="n">
        <v>0.4323533465652222</v>
      </c>
      <c r="C55" s="25" t="n">
        <v>0.4537848715404124</v>
      </c>
      <c r="D55" s="25" t="n">
        <v>0.3752878920815969</v>
      </c>
      <c r="E55" s="25" t="n">
        <v>0.3903994845360825</v>
      </c>
      <c r="F55" s="25" t="n">
        <v>0.3502686992761571</v>
      </c>
      <c r="G55" s="25" t="n">
        <v>0.4147778394034634</v>
      </c>
      <c r="H55" s="25" t="n">
        <v>0.3625781421364334</v>
      </c>
    </row>
    <row r="56">
      <c r="A56" s="36" t="n">
        <v>44165</v>
      </c>
      <c r="B56" s="25" t="n">
        <v>0.4245706882769646</v>
      </c>
      <c r="C56" s="25" t="n">
        <v>0.4442900851732407</v>
      </c>
      <c r="D56" s="25" t="n">
        <v>0.3717813824846887</v>
      </c>
      <c r="E56" s="25" t="n">
        <v>0.3863924408542082</v>
      </c>
      <c r="F56" s="25" t="n">
        <v>0.3502650978994376</v>
      </c>
      <c r="G56" s="25" t="n">
        <v>0.406875986428794</v>
      </c>
      <c r="H56" s="25" t="n">
        <v>0.3601725963828789</v>
      </c>
    </row>
    <row r="57">
      <c r="A57" s="36" t="n">
        <v>44166</v>
      </c>
      <c r="B57" s="25" t="n">
        <v>0.421138368246968</v>
      </c>
      <c r="C57" s="25" t="n">
        <v>0.4448814773980154</v>
      </c>
      <c r="D57" s="25" t="n">
        <v>0.3697786003153061</v>
      </c>
      <c r="E57" s="25" t="n">
        <v>0.3850901364041401</v>
      </c>
      <c r="F57" s="25" t="n">
        <v>0.3462608814860512</v>
      </c>
      <c r="G57" s="25" t="n">
        <v>0.4066746550720668</v>
      </c>
      <c r="H57" s="25" t="n">
        <v>0.3538666118308315</v>
      </c>
    </row>
    <row r="58">
      <c r="A58" s="36" t="n">
        <v>44167</v>
      </c>
      <c r="B58" s="25" t="n">
        <v>0.4201207243460764</v>
      </c>
      <c r="C58" s="25" t="n">
        <v>0.4426559356136821</v>
      </c>
      <c r="D58" s="25" t="n">
        <v>0.3800850637978483</v>
      </c>
      <c r="E58" s="25" t="n">
        <v>0.386790092569427</v>
      </c>
      <c r="F58" s="25" t="n">
        <v>0.3472604453340005</v>
      </c>
      <c r="G58" s="25" t="n">
        <v>0.405973480867264</v>
      </c>
      <c r="H58" s="25" t="n">
        <v>0.3562672004003002</v>
      </c>
    </row>
    <row r="59">
      <c r="A59" s="36" t="n">
        <v>44168</v>
      </c>
      <c r="B59" s="25" t="n">
        <v>0.4205115484262169</v>
      </c>
      <c r="C59" s="25" t="n">
        <v>0.4426437351854914</v>
      </c>
      <c r="D59" s="25" t="n">
        <v>0.3741793530786683</v>
      </c>
      <c r="E59" s="25" t="n">
        <v>0.3886901865091061</v>
      </c>
      <c r="F59" s="25" t="n">
        <v>0.3472592551973734</v>
      </c>
      <c r="G59" s="25" t="n">
        <v>0.404872437451214</v>
      </c>
      <c r="H59" s="25" t="n">
        <v>0.3570665771020831</v>
      </c>
    </row>
    <row r="60">
      <c r="A60" s="36" t="n">
        <v>44169</v>
      </c>
      <c r="B60" s="25" t="n">
        <v>0.4200975663533886</v>
      </c>
      <c r="C60" s="25" t="n">
        <v>0.4396135931427942</v>
      </c>
      <c r="D60" s="25" t="n">
        <v>0.3715761370607609</v>
      </c>
      <c r="E60" s="25" t="n">
        <v>0.3862870695002794</v>
      </c>
      <c r="F60" s="25" t="n">
        <v>0.3449563545511561</v>
      </c>
      <c r="G60" s="25" t="n">
        <v>0.3992728343370091</v>
      </c>
      <c r="H60" s="25" t="n">
        <v>0.3532625272891155</v>
      </c>
    </row>
    <row r="61">
      <c r="A61" s="36" t="n">
        <v>44174</v>
      </c>
      <c r="B61" s="25" t="n">
        <v>0.4194361772486773</v>
      </c>
      <c r="C61" s="25" t="n">
        <v>0.437541335978836</v>
      </c>
      <c r="D61" s="25" t="n">
        <v>0.3715697698328924</v>
      </c>
      <c r="E61" s="25" t="n">
        <v>0.3914842282753231</v>
      </c>
      <c r="F61" s="25" t="n">
        <v>0.3449504434726582</v>
      </c>
      <c r="G61" s="25" t="n">
        <v>0.3998657984648988</v>
      </c>
      <c r="H61" s="25" t="n">
        <v>0.3492535676587111</v>
      </c>
    </row>
    <row r="62">
      <c r="A62" s="36" t="n">
        <v>44175</v>
      </c>
      <c r="B62" s="25" t="n">
        <v>0.4236490396538896</v>
      </c>
      <c r="C62" s="25" t="n">
        <v>0.437529278844829</v>
      </c>
      <c r="D62" s="25" t="n">
        <v>0.3737700872891028</v>
      </c>
      <c r="E62" s="25" t="n">
        <v>0.3969868637954138</v>
      </c>
      <c r="F62" s="25" t="n">
        <v>0.34775128603203</v>
      </c>
      <c r="G62" s="25" t="n">
        <v>0.4058623959684902</v>
      </c>
      <c r="H62" s="25" t="n">
        <v>0.3553567817840974</v>
      </c>
    </row>
    <row r="63">
      <c r="A63" s="36" t="n">
        <v>44176</v>
      </c>
      <c r="B63" s="25" t="n">
        <v>0.4216257922292643</v>
      </c>
      <c r="C63" s="25" t="n">
        <v>0.4394282171397079</v>
      </c>
      <c r="D63" s="25" t="n">
        <v>0.3734685904246204</v>
      </c>
      <c r="E63" s="25" t="n">
        <v>0.3987867987251105</v>
      </c>
      <c r="F63" s="25" t="n">
        <v>0.3494513177285034</v>
      </c>
      <c r="G63" s="25" t="n">
        <v>0.4077603560424512</v>
      </c>
      <c r="H63" s="25" t="n">
        <v>0.3562562116590699</v>
      </c>
    </row>
    <row r="64">
      <c r="A64" s="36" t="n">
        <v>44179</v>
      </c>
      <c r="B64" s="25" t="n">
        <v>0.4234012068442951</v>
      </c>
      <c r="C64" s="25" t="n">
        <v>0.4455266855867522</v>
      </c>
      <c r="D64" s="25" t="n">
        <v>0.3744654601035666</v>
      </c>
      <c r="E64" s="25" t="n">
        <v>0.4035861038475906</v>
      </c>
      <c r="F64" s="25" t="n">
        <v>0.3482468736398748</v>
      </c>
      <c r="G64" s="25" t="n">
        <v>0.4148536646319962</v>
      </c>
      <c r="H64" s="25" t="n">
        <v>0.3562525488959639</v>
      </c>
    </row>
    <row r="65">
      <c r="A65" s="36" t="n">
        <v>44180</v>
      </c>
      <c r="B65" s="25" t="n">
        <v>0.4198696754284455</v>
      </c>
      <c r="C65" s="25" t="n">
        <v>0.4414917066181738</v>
      </c>
      <c r="D65" s="25" t="n">
        <v>0.3702612116767308</v>
      </c>
      <c r="E65" s="25" t="n">
        <v>0.4005826027951226</v>
      </c>
      <c r="F65" s="25" t="n">
        <v>0.3482456801716279</v>
      </c>
      <c r="G65" s="25" t="n">
        <v>0.4064552351217374</v>
      </c>
      <c r="H65" s="25" t="n">
        <v>0.351247798104142</v>
      </c>
    </row>
    <row r="66">
      <c r="A66" s="36" t="n">
        <v>44181</v>
      </c>
      <c r="B66" s="25" t="n">
        <v>0.4178468108554897</v>
      </c>
      <c r="C66" s="25" t="n">
        <v>0.4372558203609312</v>
      </c>
      <c r="D66" s="25" t="n">
        <v>0.3730619099025</v>
      </c>
      <c r="E66" s="25" t="n">
        <v>0.3980794736030432</v>
      </c>
      <c r="F66" s="25" t="n">
        <v>0.3482444867115612</v>
      </c>
      <c r="G66" s="25" t="n">
        <v>0.4078533404084148</v>
      </c>
      <c r="H66" s="25" t="n">
        <v>0.3512465943556264</v>
      </c>
    </row>
    <row r="67">
      <c r="A67" s="36" t="n">
        <v>44182</v>
      </c>
      <c r="B67" s="25" t="n">
        <v>0.4180364227463081</v>
      </c>
      <c r="C67" s="25" t="n">
        <v>0.437143211373154</v>
      </c>
      <c r="D67" s="25" t="n">
        <v>0.3792649659351053</v>
      </c>
      <c r="E67" s="25" t="n">
        <v>0.3986785288352137</v>
      </c>
      <c r="F67" s="25" t="n">
        <v>0.3507450410560802</v>
      </c>
      <c r="G67" s="25" t="n">
        <v>0.4099511821051262</v>
      </c>
      <c r="H67" s="25" t="n">
        <v>0.3587506340045786</v>
      </c>
    </row>
    <row r="68">
      <c r="A68" s="36" t="n">
        <v>44183</v>
      </c>
      <c r="B68" s="25" t="n">
        <v>0.4198349725872662</v>
      </c>
      <c r="C68" s="25" t="n">
        <v>0.4374328456897264</v>
      </c>
      <c r="D68" s="25" t="n">
        <v>0.3828661706597394</v>
      </c>
      <c r="E68" s="25" t="n">
        <v>0.4024798061666158</v>
      </c>
      <c r="F68" s="25" t="n">
        <v>0.3552469696398524</v>
      </c>
      <c r="G68" s="25" t="n">
        <v>0.4138483500908913</v>
      </c>
      <c r="H68" s="25" t="n">
        <v>0.3620517003259115</v>
      </c>
    </row>
    <row r="69">
      <c r="A69" s="36" t="n">
        <v>44186</v>
      </c>
      <c r="B69" s="25" t="n">
        <v>0.4244256198347108</v>
      </c>
      <c r="C69" s="25" t="n">
        <v>0.4462451790633609</v>
      </c>
      <c r="D69" s="25" t="n">
        <v>0.3863646333104866</v>
      </c>
      <c r="E69" s="25" t="n">
        <v>0.4076792323509253</v>
      </c>
      <c r="F69" s="25" t="n">
        <v>0.355743660041124</v>
      </c>
      <c r="G69" s="25" t="n">
        <v>0.4113450412515833</v>
      </c>
      <c r="H69" s="25" t="n">
        <v>0.3702535983550377</v>
      </c>
    </row>
    <row r="70">
      <c r="A70" s="36" t="n">
        <v>44187</v>
      </c>
      <c r="B70" s="25" t="n">
        <v>0.425318861739346</v>
      </c>
      <c r="C70" s="25" t="n">
        <v>0.4374851932453651</v>
      </c>
      <c r="D70" s="25" t="n">
        <v>0.3867635820302192</v>
      </c>
      <c r="E70" s="25" t="n">
        <v>0.4073776306455427</v>
      </c>
      <c r="F70" s="25" t="n">
        <v>0.3597451687965429</v>
      </c>
      <c r="G70" s="25" t="n">
        <v>0.412343253078453</v>
      </c>
      <c r="H70" s="25" t="n">
        <v>0.3652489196404399</v>
      </c>
    </row>
    <row r="71">
      <c r="A71" s="36" t="n">
        <v>44188</v>
      </c>
      <c r="B71" s="25" t="n">
        <v>0.4250055093383285</v>
      </c>
      <c r="C71" s="25" t="n">
        <v>0.4423998677758801</v>
      </c>
      <c r="D71" s="25" t="n">
        <v>0.386061781619043</v>
      </c>
      <c r="E71" s="25" t="n">
        <v>0.4064756238819473</v>
      </c>
      <c r="F71" s="25" t="n">
        <v>0.3572422396008252</v>
      </c>
      <c r="G71" s="25" t="n">
        <v>0.4128416497781672</v>
      </c>
      <c r="H71" s="25" t="n">
        <v>0.3632463108546206</v>
      </c>
    </row>
    <row r="72">
      <c r="A72" s="36" t="n">
        <v>44193</v>
      </c>
      <c r="B72" s="25" t="n">
        <v>0.4246453851874294</v>
      </c>
      <c r="C72" s="25" t="n">
        <v>0.4423389429035723</v>
      </c>
      <c r="D72" s="25" t="n">
        <v>0.3902579444632925</v>
      </c>
      <c r="E72" s="25" t="n">
        <v>0.4092705109884273</v>
      </c>
      <c r="F72" s="25" t="n">
        <v>0.3572361183933216</v>
      </c>
      <c r="G72" s="25" t="n">
        <v>0.4187322203089858</v>
      </c>
      <c r="H72" s="25" t="n">
        <v>0.3677430630519487</v>
      </c>
    </row>
    <row r="73">
      <c r="A73" s="36" t="n">
        <v>44194</v>
      </c>
      <c r="B73" s="25" t="n">
        <v>0.4257395064448606</v>
      </c>
      <c r="C73" s="25" t="n">
        <v>0.4501680070507877</v>
      </c>
      <c r="D73" s="25" t="n">
        <v>0.3882552911503454</v>
      </c>
      <c r="E73" s="25" t="n">
        <v>0.4095693058449391</v>
      </c>
      <c r="F73" s="25" t="n">
        <v>0.3577352231604343</v>
      </c>
      <c r="G73" s="25" t="n">
        <v>0.4117336144982507</v>
      </c>
      <c r="H73" s="25" t="n">
        <v>0.3662408158789341</v>
      </c>
    </row>
    <row r="74">
      <c r="A74" s="36" t="n">
        <v>44195</v>
      </c>
      <c r="B74" s="25" t="n">
        <v>0.4257277809909389</v>
      </c>
      <c r="C74" s="25" t="n">
        <v>0.4513619212867333</v>
      </c>
      <c r="D74" s="25" t="n">
        <v>0.3822500334122663</v>
      </c>
      <c r="E74" s="25" t="n">
        <v>0.4096679677460257</v>
      </c>
      <c r="F74" s="25" t="n">
        <v>0.359234979044512</v>
      </c>
      <c r="G74" s="25" t="n">
        <v>0.4157305755531137</v>
      </c>
      <c r="H74" s="25" t="n">
        <v>0.3652389062708827</v>
      </c>
    </row>
    <row r="75">
      <c r="A75" s="36" t="n">
        <v>44200</v>
      </c>
      <c r="B75" s="25" t="n">
        <v>0.4157184556920196</v>
      </c>
      <c r="C75" s="25" t="n">
        <v>0.433308090543592</v>
      </c>
      <c r="D75" s="25" t="n">
        <v>0.3725373011575867</v>
      </c>
      <c r="E75" s="25" t="n">
        <v>0.4057584625823298</v>
      </c>
      <c r="F75" s="25" t="n">
        <v>0.3482218125244162</v>
      </c>
      <c r="G75" s="25" t="n">
        <v>0.404828086702907</v>
      </c>
      <c r="H75" s="25" t="n">
        <v>0.3612300986244663</v>
      </c>
    </row>
    <row r="76">
      <c r="A76" s="36" t="n">
        <v>44201</v>
      </c>
      <c r="B76" s="25" t="n">
        <v>0.4146014043783561</v>
      </c>
      <c r="C76" s="25" t="n">
        <v>0.4301803662398458</v>
      </c>
      <c r="D76" s="25" t="n">
        <v>0.3692339324572075</v>
      </c>
      <c r="E76" s="25" t="n">
        <v>0.4027551702277128</v>
      </c>
      <c r="F76" s="25" t="n">
        <v>0.3452187173380395</v>
      </c>
      <c r="G76" s="25" t="n">
        <v>0.4025276850663244</v>
      </c>
      <c r="H76" s="25" t="n">
        <v>0.3566259445196443</v>
      </c>
    </row>
    <row r="77">
      <c r="A77" s="36" t="n">
        <v>44202</v>
      </c>
      <c r="B77" s="25" t="n">
        <v>0.4171026544773653</v>
      </c>
      <c r="C77" s="25" t="n">
        <v>0.4407217204537945</v>
      </c>
      <c r="D77" s="25" t="n">
        <v>0.3740356937248129</v>
      </c>
      <c r="E77" s="25" t="n">
        <v>0.4012528442580256</v>
      </c>
      <c r="F77" s="25" t="n">
        <v>0.3462181648710146</v>
      </c>
      <c r="G77" s="25" t="n">
        <v>0.409323374160465</v>
      </c>
      <c r="H77" s="25" t="n">
        <v>0.3577254160155715</v>
      </c>
    </row>
    <row r="78">
      <c r="A78" s="36" t="n">
        <v>44203</v>
      </c>
      <c r="B78" s="25" t="n">
        <v>0.41437756422612</v>
      </c>
      <c r="C78" s="25" t="n">
        <v>0.4321667538618278</v>
      </c>
      <c r="D78" s="25" t="n">
        <v>0.3713327187929422</v>
      </c>
      <c r="E78" s="25" t="n">
        <v>0.3957480201633215</v>
      </c>
      <c r="F78" s="25" t="n">
        <v>0.348718546212181</v>
      </c>
      <c r="G78" s="25" t="n">
        <v>0.4058234945759892</v>
      </c>
      <c r="H78" s="25" t="n">
        <v>0.3513201766860738</v>
      </c>
    </row>
    <row r="79">
      <c r="A79" s="36" t="n">
        <v>44204</v>
      </c>
      <c r="B79" s="25" t="n">
        <v>0.4105471116250895</v>
      </c>
      <c r="C79" s="25" t="n">
        <v>0.4321548543421995</v>
      </c>
      <c r="D79" s="25" t="n">
        <v>0.3702307602683865</v>
      </c>
      <c r="E79" s="25" t="n">
        <v>0.3952463521784126</v>
      </c>
      <c r="F79" s="25" t="n">
        <v>0.3462157920347614</v>
      </c>
      <c r="G79" s="25" t="n">
        <v>0.4044227188081937</v>
      </c>
      <c r="H79" s="25" t="n">
        <v>0.3502182867403656</v>
      </c>
    </row>
    <row r="80">
      <c r="A80" s="36" t="n">
        <v>44207</v>
      </c>
      <c r="B80" s="25" t="n">
        <v>0.4097092591063022</v>
      </c>
      <c r="C80" s="25" t="n">
        <v>0.433124087993172</v>
      </c>
      <c r="D80" s="25" t="n">
        <v>0.3641232125172623</v>
      </c>
      <c r="E80" s="25" t="n">
        <v>0.3906394673447079</v>
      </c>
      <c r="F80" s="25" t="n">
        <v>0.3452116194516501</v>
      </c>
      <c r="G80" s="25" t="n">
        <v>0.4025194176585162</v>
      </c>
      <c r="H80" s="25" t="n">
        <v>0.3502146864002248</v>
      </c>
    </row>
    <row r="81">
      <c r="A81" s="36" t="n">
        <v>44208</v>
      </c>
      <c r="B81" s="25" t="n">
        <v>0.4115068002863279</v>
      </c>
      <c r="C81" s="25" t="n">
        <v>0.4322077528770442</v>
      </c>
      <c r="D81" s="25" t="n">
        <v>0.363721720774993</v>
      </c>
      <c r="E81" s="25" t="n">
        <v>0.3906381287223033</v>
      </c>
      <c r="F81" s="25" t="n">
        <v>0.3472116564206948</v>
      </c>
      <c r="G81" s="25" t="n">
        <v>0.4033176783098052</v>
      </c>
      <c r="H81" s="25" t="n">
        <v>0.3482122663815613</v>
      </c>
    </row>
    <row r="82">
      <c r="A82" s="36" t="n">
        <v>44209</v>
      </c>
      <c r="B82" s="25" t="n">
        <v>0.4073754921124356</v>
      </c>
      <c r="C82" s="25" t="n">
        <v>0.4240563830080115</v>
      </c>
      <c r="D82" s="25" t="n">
        <v>0.3624196859054975</v>
      </c>
      <c r="E82" s="25" t="n">
        <v>0.3900364261898479</v>
      </c>
      <c r="F82" s="25" t="n">
        <v>0.3427077372242763</v>
      </c>
      <c r="G82" s="25" t="n">
        <v>0.3934208049073538</v>
      </c>
      <c r="H82" s="25" t="n">
        <v>0.3442086470223389</v>
      </c>
    </row>
    <row r="83">
      <c r="A83" s="36" t="n">
        <v>44210</v>
      </c>
      <c r="B83" s="25" t="n">
        <v>0.4042492566897918</v>
      </c>
      <c r="C83" s="25" t="n">
        <v>0.4186185442131923</v>
      </c>
      <c r="D83" s="25" t="n">
        <v>0.3571152475464663</v>
      </c>
      <c r="E83" s="25" t="n">
        <v>0.3877337025056198</v>
      </c>
      <c r="F83" s="25" t="n">
        <v>0.3382038488952245</v>
      </c>
      <c r="G83" s="25" t="n">
        <v>0.3898211094908501</v>
      </c>
      <c r="H83" s="25" t="n">
        <v>0.3441074072043424</v>
      </c>
    </row>
    <row r="84">
      <c r="A84" s="36" t="n">
        <v>44211</v>
      </c>
      <c r="B84" s="25" t="n">
        <v>0.4027309015829318</v>
      </c>
      <c r="C84" s="25" t="n">
        <v>0.4220233998623538</v>
      </c>
      <c r="D84" s="25" t="n">
        <v>0.3572140837830892</v>
      </c>
      <c r="E84" s="25" t="n">
        <v>0.387132014049516</v>
      </c>
      <c r="F84" s="25" t="n">
        <v>0.3367017904566093</v>
      </c>
      <c r="G84" s="25" t="n">
        <v>0.3907193592003697</v>
      </c>
      <c r="H84" s="25" t="n">
        <v>0.3427053885033839</v>
      </c>
    </row>
    <row r="85">
      <c r="A85" s="36" t="n">
        <v>44214</v>
      </c>
      <c r="B85" s="25" t="n">
        <v>0.4028985906188065</v>
      </c>
      <c r="C85" s="25" t="n">
        <v>0.4219885487778022</v>
      </c>
      <c r="D85" s="25" t="n">
        <v>0.3582110010005893</v>
      </c>
      <c r="E85" s="25" t="n">
        <v>0.3882286826486834</v>
      </c>
      <c r="F85" s="25" t="n">
        <v>0.3381992132351933</v>
      </c>
      <c r="G85" s="25" t="n">
        <v>0.3966125598176204</v>
      </c>
      <c r="H85" s="25" t="n">
        <v>0.3427018654824074</v>
      </c>
    </row>
    <row r="86">
      <c r="A86" s="36" t="n">
        <v>44215</v>
      </c>
      <c r="B86" s="25" t="n">
        <v>0.4038922073274794</v>
      </c>
      <c r="C86" s="25" t="n">
        <v>0.4330287098461285</v>
      </c>
      <c r="D86" s="25" t="n">
        <v>0.358710066511553</v>
      </c>
      <c r="E86" s="25" t="n">
        <v>0.3881272937233791</v>
      </c>
      <c r="F86" s="25" t="n">
        <v>0.3386983473198346</v>
      </c>
      <c r="G86" s="25" t="n">
        <v>0.3993099175392536</v>
      </c>
      <c r="H86" s="25" t="n">
        <v>0.3442015700975571</v>
      </c>
    </row>
    <row r="87">
      <c r="A87" s="36" t="n">
        <v>44216</v>
      </c>
      <c r="B87" s="25" t="n">
        <v>0.4015703275529865</v>
      </c>
      <c r="C87" s="25" t="n">
        <v>0.4307060280759702</v>
      </c>
      <c r="D87" s="25" t="n">
        <v>0.3638118082445259</v>
      </c>
      <c r="E87" s="25" t="n">
        <v>0.3876256724805537</v>
      </c>
      <c r="F87" s="25" t="n">
        <v>0.33889730322448</v>
      </c>
      <c r="G87" s="25" t="n">
        <v>0.4010077360169781</v>
      </c>
      <c r="H87" s="25" t="n">
        <v>0.3411986430456088</v>
      </c>
    </row>
    <row r="88">
      <c r="A88" s="36" t="n">
        <v>44217</v>
      </c>
      <c r="B88" s="25" t="n">
        <v>0.400856018276403</v>
      </c>
      <c r="C88" s="25" t="n">
        <v>0.4325025460350664</v>
      </c>
      <c r="D88" s="25" t="n">
        <v>0.360308534734144</v>
      </c>
      <c r="E88" s="25" t="n">
        <v>0.3871240546754799</v>
      </c>
      <c r="F88" s="25" t="n">
        <v>0.3341934201644102</v>
      </c>
      <c r="G88" s="25" t="n">
        <v>0.3988074251816759</v>
      </c>
      <c r="H88" s="25" t="n">
        <v>0.3371951574712762</v>
      </c>
    </row>
    <row r="89">
      <c r="A89" s="36" t="n">
        <v>44218</v>
      </c>
      <c r="B89" s="25" t="n">
        <v>0.4018496091599691</v>
      </c>
      <c r="C89" s="25" t="n">
        <v>0.4370114499614665</v>
      </c>
      <c r="D89" s="25" t="n">
        <v>0.3622083938704461</v>
      </c>
      <c r="E89" s="25" t="n">
        <v>0.3871227281449601</v>
      </c>
      <c r="F89" s="25" t="n">
        <v>0.3371940020285644</v>
      </c>
      <c r="G89" s="25" t="n">
        <v>0.4048031436767052</v>
      </c>
      <c r="H89" s="25" t="n">
        <v>0.3405959593190603</v>
      </c>
    </row>
    <row r="90">
      <c r="A90" s="36" t="n">
        <v>44221</v>
      </c>
      <c r="B90" s="25" t="n">
        <v>0.4007114352552635</v>
      </c>
      <c r="C90" s="25" t="n">
        <v>0.435669464703454</v>
      </c>
      <c r="D90" s="25" t="n">
        <v>0.3652063666112701</v>
      </c>
      <c r="E90" s="25" t="n">
        <v>0.3861181832199702</v>
      </c>
      <c r="F90" s="25" t="n">
        <v>0.3361899703599637</v>
      </c>
      <c r="G90" s="25" t="n">
        <v>0.4037994831333755</v>
      </c>
      <c r="H90" s="25" t="n">
        <v>0.3421933626878202</v>
      </c>
    </row>
    <row r="91">
      <c r="A91" s="36" t="n">
        <v>44222</v>
      </c>
      <c r="B91" s="25" t="n">
        <v>0.4002986019374725</v>
      </c>
      <c r="C91" s="25" t="n">
        <v>0.4334475451343021</v>
      </c>
      <c r="D91" s="25" t="n">
        <v>0.3640044408503406</v>
      </c>
      <c r="E91" s="25" t="n">
        <v>0.3860168039583876</v>
      </c>
      <c r="F91" s="25" t="n">
        <v>0.3361888183774449</v>
      </c>
      <c r="G91" s="25" t="n">
        <v>0.4037981009495252</v>
      </c>
      <c r="H91" s="25" t="n">
        <v>0.3406913471949999</v>
      </c>
    </row>
    <row r="92">
      <c r="A92" s="36" t="n">
        <v>44223</v>
      </c>
      <c r="B92" s="25" t="n">
        <v>0.4001871370779096</v>
      </c>
      <c r="C92" s="25" t="n">
        <v>0.4319288879103944</v>
      </c>
      <c r="D92" s="25" t="n">
        <v>0.3669048133033166</v>
      </c>
      <c r="E92" s="25" t="n">
        <v>0.3845146434482262</v>
      </c>
      <c r="F92" s="25" t="n">
        <v>0.339089286142607</v>
      </c>
      <c r="G92" s="25" t="n">
        <v>0.4027972219464858</v>
      </c>
      <c r="H92" s="25" t="n">
        <v>0.3401899005266639</v>
      </c>
    </row>
    <row r="93">
      <c r="A93" s="36" t="n">
        <v>44224</v>
      </c>
      <c r="B93" s="25" t="n">
        <v>0.396258737409874</v>
      </c>
      <c r="C93" s="25" t="n">
        <v>0.4319170014860477</v>
      </c>
      <c r="D93" s="25" t="n">
        <v>0.3677040001644748</v>
      </c>
      <c r="E93" s="25" t="n">
        <v>0.382912437722298</v>
      </c>
      <c r="F93" s="25" t="n">
        <v>0.3371870695385796</v>
      </c>
      <c r="G93" s="25" t="n">
        <v>0.4001971603433876</v>
      </c>
      <c r="H93" s="25" t="n">
        <v>0.3391881797435564</v>
      </c>
    </row>
    <row r="94">
      <c r="A94" s="36" t="n">
        <v>44225</v>
      </c>
      <c r="B94" s="25" t="n">
        <v>0.3972522634084592</v>
      </c>
      <c r="C94" s="25" t="n">
        <v>0.4319051157158975</v>
      </c>
      <c r="D94" s="25" t="n">
        <v>0.3672024643724794</v>
      </c>
      <c r="E94" s="25" t="n">
        <v>0.3816104084786475</v>
      </c>
      <c r="F94" s="25" t="n">
        <v>0.3350847556358129</v>
      </c>
      <c r="G94" s="25" t="n">
        <v>0.4001957905041605</v>
      </c>
      <c r="H94" s="25" t="n">
        <v>0.3364855279794682</v>
      </c>
    </row>
    <row r="95">
      <c r="A95" s="36" t="n">
        <v>44228</v>
      </c>
      <c r="B95" s="25" t="n">
        <v>0.3995294700346707</v>
      </c>
      <c r="C95" s="25" t="n">
        <v>0.4318694623300864</v>
      </c>
      <c r="D95" s="25" t="n">
        <v>0.3676989603963788</v>
      </c>
      <c r="E95" s="25" t="n">
        <v>0.3811062150067502</v>
      </c>
      <c r="F95" s="25" t="n">
        <v>0.3361819066481178</v>
      </c>
      <c r="G95" s="25" t="n">
        <v>0.4037898080451272</v>
      </c>
      <c r="H95" s="25" t="n">
        <v>0.3381829894257852</v>
      </c>
    </row>
    <row r="96">
      <c r="A96" s="36" t="n">
        <v>44229</v>
      </c>
      <c r="B96" s="25" t="n">
        <v>0.4002215007016482</v>
      </c>
      <c r="C96" s="25" t="n">
        <v>0.4293467792972512</v>
      </c>
      <c r="D96" s="25" t="n">
        <v>0.3666971625154621</v>
      </c>
      <c r="E96" s="25" t="n">
        <v>0.3799042635937816</v>
      </c>
      <c r="F96" s="25" t="n">
        <v>0.3356804857406208</v>
      </c>
      <c r="G96" s="25" t="n">
        <v>0.399190834939227</v>
      </c>
      <c r="H96" s="25" t="n">
        <v>0.3381818306418177</v>
      </c>
    </row>
    <row r="97">
      <c r="A97" s="36" t="n">
        <v>44230</v>
      </c>
      <c r="B97" s="25" t="n">
        <v>0.3976997578692494</v>
      </c>
      <c r="C97" s="25" t="n">
        <v>0.4243135042923178</v>
      </c>
      <c r="D97" s="25" t="n">
        <v>0.3656953714998423</v>
      </c>
      <c r="E97" s="25" t="n">
        <v>0.3780019462452543</v>
      </c>
      <c r="F97" s="25" t="n">
        <v>0.3336782664711284</v>
      </c>
      <c r="G97" s="25" t="n">
        <v>0.3958912080615018</v>
      </c>
      <c r="H97" s="25" t="n">
        <v>0.3391812063979386</v>
      </c>
    </row>
    <row r="98">
      <c r="A98" s="36" t="n">
        <v>44231</v>
      </c>
      <c r="B98" s="25" t="n">
        <v>0.3964836978951712</v>
      </c>
      <c r="C98" s="25" t="n">
        <v>0.4293231531159719</v>
      </c>
      <c r="D98" s="25" t="n">
        <v>0.3629926844729223</v>
      </c>
      <c r="E98" s="25" t="n">
        <v>0.3765999074851377</v>
      </c>
      <c r="F98" s="25" t="n">
        <v>0.3370789288834826</v>
      </c>
      <c r="G98" s="25" t="n">
        <v>0.3969892693946706</v>
      </c>
      <c r="H98" s="25" t="n">
        <v>0.3411811064092241</v>
      </c>
    </row>
    <row r="99">
      <c r="A99" s="36" t="n">
        <v>44232</v>
      </c>
      <c r="B99" s="25" t="n">
        <v>0.3964727893028118</v>
      </c>
      <c r="C99" s="25" t="n">
        <v>0.437043966323667</v>
      </c>
      <c r="D99" s="25" t="n">
        <v>0.3601899631997698</v>
      </c>
      <c r="E99" s="25" t="n">
        <v>0.3763985115437594</v>
      </c>
      <c r="F99" s="25" t="n">
        <v>0.3376780904997841</v>
      </c>
      <c r="G99" s="25" t="n">
        <v>0.3995865222689248</v>
      </c>
      <c r="H99" s="25" t="n">
        <v>0.3412799901317818</v>
      </c>
    </row>
    <row r="100">
      <c r="A100" s="36" t="n">
        <v>44235</v>
      </c>
      <c r="B100" s="25" t="n">
        <v>0.3971429750474565</v>
      </c>
      <c r="C100" s="25" t="n">
        <v>0.4329912789897934</v>
      </c>
      <c r="D100" s="25" t="n">
        <v>0.3601862607033089</v>
      </c>
      <c r="E100" s="25" t="n">
        <v>0.3766947976522105</v>
      </c>
      <c r="F100" s="25" t="n">
        <v>0.3371743607139309</v>
      </c>
      <c r="G100" s="25" t="n">
        <v>0.3995824191621685</v>
      </c>
      <c r="H100" s="25" t="n">
        <v>0.3412764820163852</v>
      </c>
    </row>
    <row r="101">
      <c r="A101" s="36" t="n">
        <v>44236</v>
      </c>
      <c r="B101" s="25" t="n">
        <v>0.3963287482806052</v>
      </c>
      <c r="C101" s="25" t="n">
        <v>0.4297661623108666</v>
      </c>
      <c r="D101" s="25" t="n">
        <v>0.3581839986294329</v>
      </c>
      <c r="E101" s="25" t="n">
        <v>0.3753928387870482</v>
      </c>
      <c r="F101" s="25" t="n">
        <v>0.3369731026212095</v>
      </c>
      <c r="G101" s="25" t="n">
        <v>0.3986815443592552</v>
      </c>
      <c r="H101" s="25" t="n">
        <v>0.3382737707726572</v>
      </c>
    </row>
    <row r="102">
      <c r="A102" s="36" t="n">
        <v>44237</v>
      </c>
      <c r="B102" s="25" t="n">
        <v>0.3957153860966686</v>
      </c>
      <c r="C102" s="25" t="n">
        <v>0.4297543396330225</v>
      </c>
      <c r="D102" s="25" t="n">
        <v>0.3551812397421972</v>
      </c>
      <c r="E102" s="25" t="n">
        <v>0.374691195164656</v>
      </c>
      <c r="F102" s="25" t="n">
        <v>0.3344706716783564</v>
      </c>
      <c r="G102" s="25" t="n">
        <v>0.3963814472157475</v>
      </c>
      <c r="H102" s="25" t="n">
        <v>0.3390730201369877</v>
      </c>
    </row>
    <row r="103">
      <c r="A103" s="36" t="n">
        <v>44238</v>
      </c>
      <c r="B103" s="25" t="n">
        <v>0.3925918794014084</v>
      </c>
      <c r="C103" s="25" t="n">
        <v>0.4272323393485915</v>
      </c>
      <c r="D103" s="25" t="n">
        <v>0.3551800227512575</v>
      </c>
      <c r="E103" s="25" t="n">
        <v>0.3702876800570152</v>
      </c>
      <c r="F103" s="25" t="n">
        <v>0.3352699313350602</v>
      </c>
      <c r="G103" s="25" t="n">
        <v>0.395580534087253</v>
      </c>
      <c r="H103" s="25" t="n">
        <v>0.3381714019434507</v>
      </c>
    </row>
    <row r="104">
      <c r="A104" s="36" t="n">
        <v>44239</v>
      </c>
      <c r="B104" s="25" t="n">
        <v>0.3915770362831128</v>
      </c>
      <c r="C104" s="25" t="n">
        <v>0.4337468709597558</v>
      </c>
      <c r="D104" s="25" t="n">
        <v>0.3531777984122144</v>
      </c>
      <c r="E104" s="25" t="n">
        <v>0.3646835907117625</v>
      </c>
      <c r="F104" s="25" t="n">
        <v>0.3341682285260045</v>
      </c>
      <c r="G104" s="25" t="n">
        <v>0.3977779527181744</v>
      </c>
      <c r="H104" s="25" t="n">
        <v>0.3356689840433368</v>
      </c>
    </row>
    <row r="105">
      <c r="A105" s="36" t="n">
        <v>44244</v>
      </c>
      <c r="B105" s="25" t="n">
        <v>0.3884110787172012</v>
      </c>
      <c r="C105" s="25" t="n">
        <v>0.4256559766763848</v>
      </c>
      <c r="D105" s="25" t="n">
        <v>0.3470687800231619</v>
      </c>
      <c r="E105" s="25" t="n">
        <v>0.3615758348237842</v>
      </c>
      <c r="F105" s="25" t="n">
        <v>0.3286598277244414</v>
      </c>
      <c r="G105" s="25" t="n">
        <v>0.3920744229347498</v>
      </c>
      <c r="H105" s="25" t="n">
        <v>0.3291600709934283</v>
      </c>
    </row>
    <row r="106">
      <c r="A106" s="36" t="n">
        <v>44245</v>
      </c>
      <c r="B106" s="25" t="n">
        <v>0.3910104788360516</v>
      </c>
      <c r="C106" s="25" t="n">
        <v>0.4236365136554911</v>
      </c>
      <c r="D106" s="25" t="n">
        <v>0.3479680256562244</v>
      </c>
      <c r="E106" s="25" t="n">
        <v>0.3676775429231238</v>
      </c>
      <c r="F106" s="25" t="n">
        <v>0.3287587499443224</v>
      </c>
      <c r="G106" s="25" t="n">
        <v>0.3902741221690186</v>
      </c>
      <c r="H106" s="25" t="n">
        <v>0.3302594746093148</v>
      </c>
    </row>
    <row r="107">
      <c r="A107" s="36" t="n">
        <v>44246</v>
      </c>
      <c r="B107" s="25" t="n">
        <v>0.3869843234323432</v>
      </c>
      <c r="C107" s="25" t="n">
        <v>0.4237252475247525</v>
      </c>
      <c r="D107" s="25" t="n">
        <v>0.3481669293496882</v>
      </c>
      <c r="E107" s="25" t="n">
        <v>0.3620735969300349</v>
      </c>
      <c r="F107" s="25" t="n">
        <v>0.3301582950729802</v>
      </c>
      <c r="G107" s="25" t="n">
        <v>0.3857754047301229</v>
      </c>
      <c r="H107" s="25" t="n">
        <v>0.3251558966627836</v>
      </c>
    </row>
    <row r="108">
      <c r="A108" s="36" t="n">
        <v>44249</v>
      </c>
      <c r="B108" s="25" t="n">
        <v>0.3839410939691444</v>
      </c>
      <c r="C108" s="25" t="n">
        <v>0.4255974479553392</v>
      </c>
      <c r="D108" s="25" t="n">
        <v>0.3441614730198758</v>
      </c>
      <c r="E108" s="25" t="n">
        <v>0.3636706262869908</v>
      </c>
      <c r="F108" s="25" t="n">
        <v>0.3275536810078701</v>
      </c>
      <c r="G108" s="25" t="n">
        <v>0.3839725094379015</v>
      </c>
      <c r="H108" s="25" t="n">
        <v>0.3226513809561335</v>
      </c>
    </row>
    <row r="109">
      <c r="A109" s="36" t="n">
        <v>44250</v>
      </c>
      <c r="B109" s="25" t="n">
        <v>0.3783095919040809</v>
      </c>
      <c r="C109" s="25" t="n">
        <v>0.4195633043669563</v>
      </c>
      <c r="D109" s="25" t="n">
        <v>0.3411588959241291</v>
      </c>
      <c r="E109" s="25" t="n">
        <v>0.3576665844365869</v>
      </c>
      <c r="F109" s="25" t="n">
        <v>0.327552558725982</v>
      </c>
      <c r="G109" s="25" t="n">
        <v>0.3776749471205514</v>
      </c>
      <c r="H109" s="25" t="n">
        <v>0.3212496231121344</v>
      </c>
    </row>
    <row r="110">
      <c r="A110" s="36" t="n">
        <v>44251</v>
      </c>
      <c r="B110" s="25" t="n">
        <v>0.3804069847380723</v>
      </c>
      <c r="C110" s="25" t="n">
        <v>0.4165406297263853</v>
      </c>
      <c r="D110" s="25" t="n">
        <v>0.3431586521165607</v>
      </c>
      <c r="E110" s="25" t="n">
        <v>0.3609668853750878</v>
      </c>
      <c r="F110" s="25" t="n">
        <v>0.3311531016051942</v>
      </c>
      <c r="G110" s="25" t="n">
        <v>0.3808717378283563</v>
      </c>
      <c r="H110" s="25" t="n">
        <v>0.3251503263495109</v>
      </c>
    </row>
    <row r="111">
      <c r="A111" s="36" t="n">
        <v>44252</v>
      </c>
      <c r="B111" s="25" t="n">
        <v>0.3805972611780234</v>
      </c>
      <c r="C111" s="25" t="n">
        <v>0.4215475994060386</v>
      </c>
      <c r="D111" s="25" t="n">
        <v>0.346158853720543</v>
      </c>
      <c r="E111" s="25" t="n">
        <v>0.3648674391672891</v>
      </c>
      <c r="F111" s="25" t="n">
        <v>0.3321524261133534</v>
      </c>
      <c r="G111" s="25" t="n">
        <v>0.3798710366354526</v>
      </c>
      <c r="H111" s="25" t="n">
        <v>0.3291510487689556</v>
      </c>
    </row>
    <row r="112">
      <c r="A112" s="36" t="n">
        <v>44253</v>
      </c>
      <c r="B112" s="25" t="n">
        <v>0.3818915500316221</v>
      </c>
      <c r="C112" s="25" t="n">
        <v>0.4165177221107048</v>
      </c>
      <c r="D112" s="25" t="n">
        <v>0.3486588069223311</v>
      </c>
      <c r="E112" s="25" t="n">
        <v>0.3679676016815879</v>
      </c>
      <c r="F112" s="25" t="n">
        <v>0.3311508323996889</v>
      </c>
      <c r="G112" s="25" t="n">
        <v>0.376072038524593</v>
      </c>
      <c r="H112" s="25" t="n">
        <v>0.3301503767126808</v>
      </c>
    </row>
    <row r="113">
      <c r="A113" s="36" t="n">
        <v>44256</v>
      </c>
      <c r="B113" s="25" t="n">
        <v>0.3832650536156172</v>
      </c>
      <c r="C113" s="25" t="n">
        <v>0.4164833654110531</v>
      </c>
      <c r="D113" s="25" t="n">
        <v>0.3506561140233665</v>
      </c>
      <c r="E113" s="25" t="n">
        <v>0.3679638195086854</v>
      </c>
      <c r="F113" s="25" t="n">
        <v>0.332147874053517</v>
      </c>
      <c r="G113" s="25" t="n">
        <v>0.3776671914573208</v>
      </c>
      <c r="H113" s="25" t="n">
        <v>0.3302470277863432</v>
      </c>
    </row>
    <row r="114">
      <c r="A114" s="36" t="n">
        <v>44257</v>
      </c>
      <c r="B114" s="25" t="n">
        <v>0.3782367820516345</v>
      </c>
      <c r="C114" s="25" t="n">
        <v>0.411454180528443</v>
      </c>
      <c r="D114" s="25" t="n">
        <v>0.344652260759034</v>
      </c>
      <c r="E114" s="25" t="n">
        <v>0.3630603931188778</v>
      </c>
      <c r="F114" s="25" t="n">
        <v>0.3226425372853076</v>
      </c>
      <c r="G114" s="25" t="n">
        <v>0.3693710405536295</v>
      </c>
      <c r="H114" s="25" t="n">
        <v>0.3222423604948761</v>
      </c>
    </row>
    <row r="115">
      <c r="A115" s="36" t="n">
        <v>44258</v>
      </c>
      <c r="B115" s="25" t="n">
        <v>0.3763196964698119</v>
      </c>
      <c r="C115" s="25" t="n">
        <v>0.4089340701638623</v>
      </c>
      <c r="D115" s="25" t="n">
        <v>0.3356471329898037</v>
      </c>
      <c r="E115" s="25" t="n">
        <v>0.3623588422322114</v>
      </c>
      <c r="F115" s="25" t="n">
        <v>0.3205405109088916</v>
      </c>
      <c r="G115" s="25" t="n">
        <v>0.3697695272124908</v>
      </c>
      <c r="H115" s="25" t="n">
        <v>0.3186396776669225</v>
      </c>
    </row>
    <row r="116">
      <c r="A116" s="36" t="n">
        <v>44259</v>
      </c>
      <c r="B116" s="25" t="n">
        <v>0.3793198251450251</v>
      </c>
      <c r="C116" s="25" t="n">
        <v>0.405410606768757</v>
      </c>
      <c r="D116" s="25" t="n">
        <v>0.3381470708150462</v>
      </c>
      <c r="E116" s="25" t="n">
        <v>0.3639582969305143</v>
      </c>
      <c r="F116" s="25" t="n">
        <v>0.3231405440037276</v>
      </c>
      <c r="G116" s="25" t="n">
        <v>0.3695683869355849</v>
      </c>
      <c r="H116" s="25" t="n">
        <v>0.3257416753176895</v>
      </c>
    </row>
    <row r="117">
      <c r="A117" s="36" t="n">
        <v>44260</v>
      </c>
      <c r="B117" s="25" t="n">
        <v>0.3763993511849123</v>
      </c>
      <c r="C117" s="25" t="n">
        <v>0.3863336449112003</v>
      </c>
      <c r="D117" s="25" t="n">
        <v>0.335144617197832</v>
      </c>
      <c r="E117" s="25" t="n">
        <v>0.3576543302932087</v>
      </c>
      <c r="F117" s="25" t="n">
        <v>0.3227392642030465</v>
      </c>
      <c r="G117" s="25" t="n">
        <v>0.3605727897489253</v>
      </c>
      <c r="H117" s="25" t="n">
        <v>0.3166366308749666</v>
      </c>
    </row>
    <row r="118">
      <c r="A118" s="36" t="n">
        <v>44263</v>
      </c>
      <c r="B118" s="25" t="n">
        <v>0.3701473458504</v>
      </c>
      <c r="C118" s="25" t="n">
        <v>0.3993457404403881</v>
      </c>
      <c r="D118" s="25" t="n">
        <v>0.3306392761334397</v>
      </c>
      <c r="E118" s="25" t="n">
        <v>0.3571504435087383</v>
      </c>
      <c r="F118" s="25" t="n">
        <v>0.3201348513243593</v>
      </c>
      <c r="G118" s="25" t="n">
        <v>0.3605690876048558</v>
      </c>
      <c r="H118" s="25" t="n">
        <v>0.316633376387999</v>
      </c>
    </row>
    <row r="119">
      <c r="A119" s="36" t="n">
        <v>44264</v>
      </c>
      <c r="B119" s="25" t="n">
        <v>0.3637157072956183</v>
      </c>
      <c r="C119" s="25" t="n">
        <v>0.3842844576392325</v>
      </c>
      <c r="D119" s="25" t="n">
        <v>0.3261362624110073</v>
      </c>
      <c r="E119" s="25" t="n">
        <v>0.3515468791755459</v>
      </c>
      <c r="F119" s="25" t="n">
        <v>0.3199336709173011</v>
      </c>
      <c r="G119" s="25" t="n">
        <v>0.3523731296288691</v>
      </c>
      <c r="H119" s="25" t="n">
        <v>0.3053275683676057</v>
      </c>
    </row>
    <row r="120">
      <c r="A120" s="36" t="n">
        <v>44265</v>
      </c>
      <c r="B120" s="25" t="n">
        <v>0.3511641331537426</v>
      </c>
      <c r="C120" s="25" t="n">
        <v>0.3712306550482421</v>
      </c>
      <c r="D120" s="25" t="n">
        <v>0.3211330722662473</v>
      </c>
      <c r="E120" s="25" t="n">
        <v>0.3352389174966339</v>
      </c>
      <c r="F120" s="25" t="n">
        <v>0.3143302532898907</v>
      </c>
      <c r="G120" s="25" t="n">
        <v>0.3436775511740688</v>
      </c>
      <c r="H120" s="25" t="n">
        <v>0.2981235374932764</v>
      </c>
    </row>
    <row r="121">
      <c r="A121" s="36" t="n">
        <v>44266</v>
      </c>
      <c r="B121" s="25" t="n">
        <v>0.3506528312259484</v>
      </c>
      <c r="C121" s="25" t="n">
        <v>0.3732270478284772</v>
      </c>
      <c r="D121" s="25" t="n">
        <v>0.3206317664793751</v>
      </c>
      <c r="E121" s="25" t="n">
        <v>0.3352377689461422</v>
      </c>
      <c r="F121" s="25" t="n">
        <v>0.3151295052761409</v>
      </c>
      <c r="G121" s="25" t="n">
        <v>0.3462746842807762</v>
      </c>
      <c r="H121" s="25" t="n">
        <v>0.3027244072906674</v>
      </c>
    </row>
    <row r="122">
      <c r="A122" s="36" t="n">
        <v>44267</v>
      </c>
      <c r="B122" s="25" t="n">
        <v>0.3562615101289134</v>
      </c>
      <c r="C122" s="25" t="n">
        <v>0.3792364146120227</v>
      </c>
      <c r="D122" s="25" t="n">
        <v>0.3276335218804924</v>
      </c>
      <c r="E122" s="25" t="n">
        <v>0.344040208167027</v>
      </c>
      <c r="F122" s="25" t="n">
        <v>0.3251325026294963</v>
      </c>
      <c r="G122" s="25" t="n">
        <v>0.3528691848824912</v>
      </c>
      <c r="H122" s="25" t="n">
        <v>0.3051243486215273</v>
      </c>
    </row>
    <row r="123">
      <c r="A123" s="36" t="n">
        <v>44270</v>
      </c>
      <c r="B123" s="25" t="n">
        <v>0.3659630606860158</v>
      </c>
      <c r="C123" s="25" t="n">
        <v>0.388233839050132</v>
      </c>
      <c r="D123" s="25" t="n">
        <v>0.3366337312082882</v>
      </c>
      <c r="E123" s="25" t="n">
        <v>0.3497389373860849</v>
      </c>
      <c r="F123" s="25" t="n">
        <v>0.3346329363719834</v>
      </c>
      <c r="G123" s="25" t="n">
        <v>0.3592613126895146</v>
      </c>
      <c r="H123" s="25" t="n">
        <v>0.309623000918173</v>
      </c>
    </row>
    <row r="124">
      <c r="A124" s="36" t="n">
        <v>44271</v>
      </c>
      <c r="B124" s="25" t="n">
        <v>0.3676583757042737</v>
      </c>
      <c r="C124" s="25" t="n">
        <v>0.4011639411845541</v>
      </c>
      <c r="D124" s="25" t="n">
        <v>0.3426349418435343</v>
      </c>
      <c r="E124" s="25" t="n">
        <v>0.3541394727375508</v>
      </c>
      <c r="F124" s="25" t="n">
        <v>0.3350319475135756</v>
      </c>
      <c r="G124" s="25" t="n">
        <v>0.3627577473947193</v>
      </c>
      <c r="H124" s="25" t="n">
        <v>0.3130232797163267</v>
      </c>
    </row>
    <row r="125">
      <c r="A125" s="36" t="n">
        <v>44272</v>
      </c>
      <c r="B125" s="25" t="n">
        <v>0.3695542241521464</v>
      </c>
      <c r="C125" s="25" t="n">
        <v>0.3997485296542627</v>
      </c>
      <c r="D125" s="25" t="n">
        <v>0.3406329868510308</v>
      </c>
      <c r="E125" s="25" t="n">
        <v>0.358139821711216</v>
      </c>
      <c r="F125" s="25" t="n">
        <v>0.3376318151607134</v>
      </c>
      <c r="G125" s="25" t="n">
        <v>0.3685526153677668</v>
      </c>
      <c r="H125" s="25" t="n">
        <v>0.3167236523848352</v>
      </c>
    </row>
    <row r="126">
      <c r="A126" s="36" t="n">
        <v>44273</v>
      </c>
      <c r="B126" s="25" t="n">
        <v>0.368340341330695</v>
      </c>
      <c r="C126" s="25" t="n">
        <v>0.3991356803253909</v>
      </c>
      <c r="D126" s="25" t="n">
        <v>0.3393313165711389</v>
      </c>
      <c r="E126" s="25" t="n">
        <v>0.358338672157376</v>
      </c>
      <c r="F126" s="25" t="n">
        <v>0.3396314327119742</v>
      </c>
      <c r="G126" s="25" t="n">
        <v>0.3658531743994634</v>
      </c>
      <c r="H126" s="25" t="n">
        <v>0.3161223350132072</v>
      </c>
    </row>
    <row r="127">
      <c r="A127" s="36" t="n">
        <v>44274</v>
      </c>
      <c r="B127" s="25" t="n">
        <v>0.3711388369792239</v>
      </c>
      <c r="C127" s="25" t="n">
        <v>0.3972188633615478</v>
      </c>
      <c r="D127" s="25" t="n">
        <v>0.3446321876884285</v>
      </c>
      <c r="E127" s="25" t="n">
        <v>0.3593378282080798</v>
      </c>
      <c r="F127" s="25" t="n">
        <v>0.3426314202707888</v>
      </c>
      <c r="G127" s="25" t="n">
        <v>0.3692496184094347</v>
      </c>
      <c r="H127" s="25" t="n">
        <v>0.3217234007564545</v>
      </c>
    </row>
    <row r="128">
      <c r="A128" s="36" t="n">
        <v>44277</v>
      </c>
      <c r="B128" s="25" t="n">
        <v>0.3766247149020362</v>
      </c>
      <c r="C128" s="25" t="n">
        <v>0.4011980984309307</v>
      </c>
      <c r="D128" s="25" t="n">
        <v>0.3531318197546344</v>
      </c>
      <c r="E128" s="25" t="n">
        <v>0.3642359647950776</v>
      </c>
      <c r="F128" s="25" t="n">
        <v>0.3486301393328332</v>
      </c>
      <c r="G128" s="25" t="n">
        <v>0.3752417000626281</v>
      </c>
      <c r="H128" s="25" t="n">
        <v>0.3276222973644271</v>
      </c>
    </row>
    <row r="129">
      <c r="A129" s="36" t="n">
        <v>44278</v>
      </c>
      <c r="B129" s="25" t="n">
        <v>0.3736054627390635</v>
      </c>
      <c r="C129" s="25" t="n">
        <v>0.4011870740822159</v>
      </c>
      <c r="D129" s="25" t="n">
        <v>0.3533306839515986</v>
      </c>
      <c r="E129" s="25" t="n">
        <v>0.3601331999506667</v>
      </c>
      <c r="F129" s="25" t="n">
        <v>0.3526304249516944</v>
      </c>
      <c r="G129" s="25" t="n">
        <v>0.3705436649988706</v>
      </c>
      <c r="H129" s="25" t="n">
        <v>0.3275211379551341</v>
      </c>
    </row>
    <row r="130">
      <c r="A130" s="36" t="n">
        <v>44280</v>
      </c>
      <c r="B130" s="25" t="n">
        <v>0.3650601747540803</v>
      </c>
      <c r="C130" s="25" t="n">
        <v>0.3892303676430181</v>
      </c>
      <c r="D130" s="25" t="n">
        <v>0.3481263746428498</v>
      </c>
      <c r="E130" s="25" t="n">
        <v>0.3534282993141346</v>
      </c>
      <c r="F130" s="25" t="n">
        <v>0.3461256483517989</v>
      </c>
      <c r="G130" s="25" t="n">
        <v>0.3627465743110977</v>
      </c>
      <c r="H130" s="25" t="n">
        <v>0.3152144271550631</v>
      </c>
    </row>
    <row r="131">
      <c r="A131" s="36" t="n">
        <v>44281</v>
      </c>
      <c r="B131" s="25" t="n">
        <v>0.3660530292622613</v>
      </c>
      <c r="C131" s="25" t="n">
        <v>0.3921280395658744</v>
      </c>
      <c r="D131" s="25" t="n">
        <v>0.3475249661693418</v>
      </c>
      <c r="E131" s="25" t="n">
        <v>0.3533270525360147</v>
      </c>
      <c r="F131" s="25" t="n">
        <v>0.3436235632676133</v>
      </c>
      <c r="G131" s="25" t="n">
        <v>0.3618459643058812</v>
      </c>
      <c r="H131" s="25" t="n">
        <v>0.3121122321382689</v>
      </c>
    </row>
    <row r="132">
      <c r="A132" s="36" t="n">
        <v>44284</v>
      </c>
      <c r="B132" s="25" t="n">
        <v>0.3628138908731249</v>
      </c>
      <c r="C132" s="25" t="n">
        <v>0.382167976262432</v>
      </c>
      <c r="D132" s="25" t="n">
        <v>0.3432198918800403</v>
      </c>
      <c r="E132" s="25" t="n">
        <v>0.346821149853716</v>
      </c>
      <c r="F132" s="25" t="n">
        <v>0.3381181097506663</v>
      </c>
      <c r="G132" s="25" t="n">
        <v>0.3562462355582325</v>
      </c>
      <c r="H132" s="25" t="n">
        <v>0.3082076615804151</v>
      </c>
    </row>
    <row r="133">
      <c r="A133" s="36" t="n">
        <v>44285</v>
      </c>
      <c r="B133" s="25" t="n">
        <v>0.3589933789389818</v>
      </c>
      <c r="C133" s="25" t="n">
        <v>0.3820571993736092</v>
      </c>
      <c r="D133" s="25" t="n">
        <v>0.3401176434314609</v>
      </c>
      <c r="E133" s="25" t="n">
        <v>0.3430186468607292</v>
      </c>
      <c r="F133" s="25" t="n">
        <v>0.3391172974213683</v>
      </c>
      <c r="G133" s="25" t="n">
        <v>0.3506490217618212</v>
      </c>
      <c r="H133" s="25" t="n">
        <v>0.3070061904973981</v>
      </c>
    </row>
    <row r="134">
      <c r="A134" s="36" t="n">
        <v>44286</v>
      </c>
      <c r="B134" s="25" t="n">
        <v>0.360989010989011</v>
      </c>
      <c r="C134" s="25" t="n">
        <v>0.3895673076923077</v>
      </c>
      <c r="D134" s="25" t="n">
        <v>0.3391161356628982</v>
      </c>
      <c r="E134" s="25" t="n">
        <v>0.3406166495375128</v>
      </c>
      <c r="F134" s="25" t="n">
        <v>0.3356149366221308</v>
      </c>
      <c r="G134" s="25" t="n">
        <v>0.3498483967010027</v>
      </c>
      <c r="H134" s="25" t="n">
        <v>0.3050044535799931</v>
      </c>
    </row>
    <row r="135">
      <c r="A135" s="36" t="n">
        <v>44291</v>
      </c>
      <c r="B135" s="25" t="n">
        <v>0.3625436066474385</v>
      </c>
      <c r="C135" s="25" t="n">
        <v>0.389413542095866</v>
      </c>
      <c r="D135" s="25" t="n">
        <v>0.3391103269899454</v>
      </c>
      <c r="E135" s="25" t="n">
        <v>0.3486134187492506</v>
      </c>
      <c r="F135" s="25" t="n">
        <v>0.3326082115756839</v>
      </c>
      <c r="G135" s="25" t="n">
        <v>0.3532399089711343</v>
      </c>
      <c r="H135" s="25" t="n">
        <v>0.306099587194464</v>
      </c>
    </row>
    <row r="136">
      <c r="A136" s="36" t="n">
        <v>44292</v>
      </c>
      <c r="B136" s="25" t="n">
        <v>0.3599269351205845</v>
      </c>
      <c r="C136" s="25" t="n">
        <v>0.3879992308960062</v>
      </c>
      <c r="D136" s="25" t="n">
        <v>0.3371085212362884</v>
      </c>
      <c r="E136" s="25" t="n">
        <v>0.3464115160359842</v>
      </c>
      <c r="F136" s="25" t="n">
        <v>0.3301062670859797</v>
      </c>
      <c r="G136" s="25" t="n">
        <v>0.3537383305500041</v>
      </c>
      <c r="H136" s="25" t="n">
        <v>0.3050982165491631</v>
      </c>
    </row>
    <row r="137">
      <c r="A137" s="36" t="n">
        <v>44293</v>
      </c>
      <c r="B137" s="25" t="n">
        <v>0.3588142390199687</v>
      </c>
      <c r="C137" s="25" t="n">
        <v>0.3799681379954404</v>
      </c>
      <c r="D137" s="25" t="n">
        <v>0.3243032883760924</v>
      </c>
      <c r="E137" s="25" t="n">
        <v>0.3458101381604415</v>
      </c>
      <c r="F137" s="25" t="n">
        <v>0.3321057734141353</v>
      </c>
      <c r="G137" s="25" t="n">
        <v>0.352637936875678</v>
      </c>
      <c r="H137" s="25" t="n">
        <v>0.3036967253269021</v>
      </c>
    </row>
    <row r="138">
      <c r="A138" s="36" t="n">
        <v>44294</v>
      </c>
      <c r="B138" s="25" t="n">
        <v>0.3597066578773896</v>
      </c>
      <c r="C138" s="25" t="n">
        <v>0.3760478466271149</v>
      </c>
      <c r="D138" s="25" t="n">
        <v>0.3332049823917125</v>
      </c>
      <c r="E138" s="25" t="n">
        <v>0.3440083862038725</v>
      </c>
      <c r="F138" s="25" t="n">
        <v>0.331104320539348</v>
      </c>
      <c r="G138" s="25" t="n">
        <v>0.3535360586959052</v>
      </c>
      <c r="H138" s="25" t="n">
        <v>0.304095811008948</v>
      </c>
    </row>
    <row r="139">
      <c r="A139" s="36" t="n">
        <v>44295</v>
      </c>
      <c r="B139" s="25" t="n">
        <v>0.3570902798758548</v>
      </c>
      <c r="C139" s="25" t="n">
        <v>0.3786440165893049</v>
      </c>
      <c r="D139" s="25" t="n">
        <v>0.3311031862669531</v>
      </c>
      <c r="E139" s="25" t="n">
        <v>0.341906553069621</v>
      </c>
      <c r="F139" s="25" t="n">
        <v>0.3314032797892494</v>
      </c>
      <c r="G139" s="25" t="n">
        <v>0.3512365725705721</v>
      </c>
      <c r="H139" s="25" t="n">
        <v>0.3019941146042089</v>
      </c>
    </row>
    <row r="140">
      <c r="A140" s="36" t="n">
        <v>44298</v>
      </c>
      <c r="B140" s="25" t="n">
        <v>0.3633760848072064</v>
      </c>
      <c r="C140" s="25" t="n">
        <v>0.3869328792705701</v>
      </c>
      <c r="D140" s="25" t="n">
        <v>0.3371015922606813</v>
      </c>
      <c r="E140" s="25" t="n">
        <v>0.346604456137466</v>
      </c>
      <c r="F140" s="25" t="n">
        <v>0.3351009893392529</v>
      </c>
      <c r="G140" s="25" t="n">
        <v>0.3589271170548419</v>
      </c>
      <c r="H140" s="25" t="n">
        <v>0.3060922469785415</v>
      </c>
    </row>
    <row r="141">
      <c r="A141" s="36" t="n">
        <v>44299</v>
      </c>
      <c r="B141" s="25" t="n">
        <v>0.364869689396644</v>
      </c>
      <c r="C141" s="25" t="n">
        <v>0.3999533133770906</v>
      </c>
      <c r="D141" s="25" t="n">
        <v>0.3385008547067106</v>
      </c>
      <c r="E141" s="25" t="n">
        <v>0.3483037754399427</v>
      </c>
      <c r="F141" s="25" t="n">
        <v>0.3350998413910994</v>
      </c>
      <c r="G141" s="25" t="n">
        <v>0.3636223021459639</v>
      </c>
      <c r="H141" s="25" t="n">
        <v>0.3085919434900125</v>
      </c>
    </row>
    <row r="142">
      <c r="A142" s="36" t="n">
        <v>44300</v>
      </c>
      <c r="B142" s="25" t="n">
        <v>0.3645589608392376</v>
      </c>
      <c r="C142" s="25" t="n">
        <v>0.3929257977700885</v>
      </c>
      <c r="D142" s="25" t="n">
        <v>0.3365991353617846</v>
      </c>
      <c r="E142" s="25" t="n">
        <v>0.3458018457490905</v>
      </c>
      <c r="F142" s="25" t="n">
        <v>0.3348986345293476</v>
      </c>
      <c r="G142" s="25" t="n">
        <v>0.3607232807709155</v>
      </c>
      <c r="H142" s="25" t="n">
        <v>0.3072905033674301</v>
      </c>
    </row>
    <row r="143">
      <c r="A143" s="36" t="n">
        <v>44301</v>
      </c>
      <c r="B143" s="25" t="n">
        <v>0.3618426472607442</v>
      </c>
      <c r="C143" s="25" t="n">
        <v>0.3909103391459564</v>
      </c>
      <c r="D143" s="25" t="n">
        <v>0.3350975455183872</v>
      </c>
      <c r="E143" s="25" t="n">
        <v>0.3425997293732765</v>
      </c>
      <c r="F143" s="25" t="n">
        <v>0.3310963807957796</v>
      </c>
      <c r="G143" s="25" t="n">
        <v>0.3595229703139703</v>
      </c>
      <c r="H143" s="25" t="n">
        <v>0.3078896254046555</v>
      </c>
    </row>
    <row r="144">
      <c r="A144" s="36" t="n">
        <v>44302</v>
      </c>
      <c r="B144" s="25" t="n">
        <v>0.3628350175746925</v>
      </c>
      <c r="C144" s="25" t="n">
        <v>0.3899975285588752</v>
      </c>
      <c r="D144" s="25" t="n">
        <v>0.3360966853478398</v>
      </c>
      <c r="E144" s="25" t="n">
        <v>0.3420984118719084</v>
      </c>
      <c r="F144" s="25" t="n">
        <v>0.3315953904547884</v>
      </c>
      <c r="G144" s="25" t="n">
        <v>0.3637184918521966</v>
      </c>
      <c r="H144" s="25" t="n">
        <v>0.3100892037435427</v>
      </c>
    </row>
    <row r="145">
      <c r="A145" s="36" t="n">
        <v>44305</v>
      </c>
      <c r="B145" s="25" t="n">
        <v>0.362805129190807</v>
      </c>
      <c r="C145" s="25" t="n">
        <v>0.3939742991295753</v>
      </c>
      <c r="D145" s="25" t="n">
        <v>0.3350929538673399</v>
      </c>
      <c r="E145" s="25" t="n">
        <v>0.3437953678931484</v>
      </c>
      <c r="F145" s="25" t="n">
        <v>0.3315919827075319</v>
      </c>
      <c r="G145" s="25" t="n">
        <v>0.3646140526778657</v>
      </c>
      <c r="H145" s="25" t="n">
        <v>0.3080854620631066</v>
      </c>
    </row>
    <row r="146">
      <c r="A146" s="36" t="n">
        <v>44306</v>
      </c>
      <c r="B146" s="25" t="n">
        <v>0.3622940691927512</v>
      </c>
      <c r="C146" s="25" t="n">
        <v>0.3943643602416255</v>
      </c>
      <c r="D146" s="25" t="n">
        <v>0.336592217045766</v>
      </c>
      <c r="E146" s="25" t="n">
        <v>0.3426938887366401</v>
      </c>
      <c r="F146" s="25" t="n">
        <v>0.330090435735818</v>
      </c>
      <c r="G146" s="25" t="n">
        <v>0.3617150874311331</v>
      </c>
      <c r="H146" s="25" t="n">
        <v>0.3086845711153741</v>
      </c>
    </row>
    <row r="147">
      <c r="A147" s="36" t="n">
        <v>44307</v>
      </c>
      <c r="B147" s="25" t="n">
        <v>0.3647895444935614</v>
      </c>
      <c r="C147" s="25" t="n">
        <v>0.3908459405288158</v>
      </c>
      <c r="D147" s="25" t="n">
        <v>0.3380914699524871</v>
      </c>
      <c r="E147" s="25" t="n">
        <v>0.3435929583688738</v>
      </c>
      <c r="F147" s="25" t="n">
        <v>0.3300893049831975</v>
      </c>
      <c r="G147" s="25" t="n">
        <v>0.3660104506366539</v>
      </c>
      <c r="H147" s="25" t="n">
        <v>0.3095837572493928</v>
      </c>
    </row>
    <row r="148">
      <c r="A148" s="36" t="n">
        <v>44308</v>
      </c>
      <c r="B148" s="25" t="n">
        <v>0.3667838119817693</v>
      </c>
      <c r="C148" s="25" t="n">
        <v>0.3988523419911043</v>
      </c>
      <c r="D148" s="25" t="n">
        <v>0.342091380574263</v>
      </c>
      <c r="E148" s="25" t="n">
        <v>0.3437918348051877</v>
      </c>
      <c r="F148" s="25" t="n">
        <v>0.3345893766143011</v>
      </c>
      <c r="G148" s="25" t="n">
        <v>0.3667086424484656</v>
      </c>
      <c r="H148" s="25" t="n">
        <v>0.3116832578565507</v>
      </c>
    </row>
    <row r="149">
      <c r="A149" s="36" t="n">
        <v>44309</v>
      </c>
      <c r="B149" s="25" t="n">
        <v>0.3662726848419954</v>
      </c>
      <c r="C149" s="25" t="n">
        <v>0.3983403344040853</v>
      </c>
      <c r="D149" s="25" t="n">
        <v>0.3387893382844106</v>
      </c>
      <c r="E149" s="25" t="n">
        <v>0.3422902614730597</v>
      </c>
      <c r="F149" s="25" t="n">
        <v>0.3280865159648263</v>
      </c>
      <c r="G149" s="25" t="n">
        <v>0.3663077065218507</v>
      </c>
      <c r="H149" s="25" t="n">
        <v>0.3150830869784155</v>
      </c>
    </row>
    <row r="150">
      <c r="A150" s="36" t="n">
        <v>44312</v>
      </c>
      <c r="B150" s="25" t="n">
        <v>0.3691484104760336</v>
      </c>
      <c r="C150" s="25" t="n">
        <v>0.3958024488003075</v>
      </c>
      <c r="D150" s="25" t="n">
        <v>0.3375855525030316</v>
      </c>
      <c r="E150" s="25" t="n">
        <v>0.3487883915786877</v>
      </c>
      <c r="F150" s="25" t="n">
        <v>0.3280831443585018</v>
      </c>
      <c r="G150" s="25" t="n">
        <v>0.368202411749408</v>
      </c>
      <c r="H150" s="25" t="n">
        <v>0.3150798490028295</v>
      </c>
    </row>
    <row r="151">
      <c r="A151" s="36" t="n">
        <v>44313</v>
      </c>
      <c r="B151" s="25" t="n">
        <v>0.3705410821643286</v>
      </c>
      <c r="C151" s="25" t="n">
        <v>0.3947895791583166</v>
      </c>
      <c r="D151" s="25" t="n">
        <v>0.3390847711927982</v>
      </c>
      <c r="E151" s="25" t="n">
        <v>0.3525881470367592</v>
      </c>
      <c r="F151" s="25" t="n">
        <v>0.3295823955988997</v>
      </c>
      <c r="G151" s="25" t="n">
        <v>0.3710987999466187</v>
      </c>
      <c r="H151" s="25" t="n">
        <v>0.320580145036259</v>
      </c>
    </row>
    <row r="152">
      <c r="A152" s="36" t="n">
        <v>44314</v>
      </c>
      <c r="B152" s="25" t="n">
        <v>0.3732362468430878</v>
      </c>
      <c r="C152" s="25" t="n">
        <v>0.3932757768749314</v>
      </c>
      <c r="D152" s="25" t="n">
        <v>0.3430845962018031</v>
      </c>
      <c r="E152" s="25" t="n">
        <v>0.3535871858814502</v>
      </c>
      <c r="F152" s="25" t="n">
        <v>0.3315817598859992</v>
      </c>
      <c r="G152" s="25" t="n">
        <v>0.3692989960237889</v>
      </c>
      <c r="H152" s="25" t="n">
        <v>0.3220794168425091</v>
      </c>
    </row>
    <row r="153">
      <c r="A153" s="36" t="n">
        <v>44315</v>
      </c>
      <c r="B153" s="25" t="n">
        <v>0.3687172307776771</v>
      </c>
      <c r="C153" s="25" t="n">
        <v>0.3977737516813528</v>
      </c>
      <c r="D153" s="25" t="n">
        <v>0.3390824481295109</v>
      </c>
      <c r="E153" s="25" t="n">
        <v>0.3523856828201378</v>
      </c>
      <c r="F153" s="25" t="n">
        <v>0.3275796512165629</v>
      </c>
      <c r="G153" s="25" t="n">
        <v>0.3671994497654317</v>
      </c>
      <c r="H153" s="25" t="n">
        <v>0.3175772191183472</v>
      </c>
    </row>
    <row r="154">
      <c r="A154" s="36" t="n">
        <v>44316</v>
      </c>
      <c r="B154" s="25" t="n">
        <v>0.3692080702717541</v>
      </c>
      <c r="C154" s="25" t="n">
        <v>0.3907493823771617</v>
      </c>
      <c r="D154" s="25" t="n">
        <v>0.3406816702634193</v>
      </c>
      <c r="E154" s="25" t="n">
        <v>0.3516843078820265</v>
      </c>
      <c r="F154" s="25" t="n">
        <v>0.3295790086664612</v>
      </c>
      <c r="G154" s="25" t="n">
        <v>0.3717944155488639</v>
      </c>
      <c r="H154" s="25" t="n">
        <v>0.3200767307231185</v>
      </c>
    </row>
    <row r="155">
      <c r="A155" s="36" t="n">
        <v>44319</v>
      </c>
      <c r="B155" s="25" t="n">
        <v>0.368376197403453</v>
      </c>
      <c r="C155" s="25" t="n">
        <v>0.3963275052836714</v>
      </c>
      <c r="D155" s="25" t="n">
        <v>0.3365772283366389</v>
      </c>
      <c r="E155" s="25" t="n">
        <v>0.3518807397587803</v>
      </c>
      <c r="F155" s="25" t="n">
        <v>0.3255747037847725</v>
      </c>
      <c r="G155" s="25" t="n">
        <v>0.3703917630191313</v>
      </c>
      <c r="H155" s="25" t="n">
        <v>0.3200734415088394</v>
      </c>
    </row>
    <row r="156">
      <c r="A156" s="36" t="n">
        <v>44320</v>
      </c>
      <c r="B156" s="25" t="n">
        <v>0.3681657243234341</v>
      </c>
      <c r="C156" s="25" t="n">
        <v>0.3667631882307735</v>
      </c>
      <c r="D156" s="25" t="n">
        <v>0.336576075414306</v>
      </c>
      <c r="E156" s="25" t="n">
        <v>0.3512793987682147</v>
      </c>
      <c r="F156" s="25" t="n">
        <v>0.328374221570629</v>
      </c>
      <c r="G156" s="25" t="n">
        <v>0.3701906625970079</v>
      </c>
      <c r="H156" s="25" t="n">
        <v>0.320172367726952</v>
      </c>
    </row>
    <row r="157">
      <c r="A157" s="36" t="n">
        <v>44321</v>
      </c>
      <c r="B157" s="25" t="n">
        <v>0.3666529435981886</v>
      </c>
      <c r="C157" s="25" t="n">
        <v>0.3881912995745849</v>
      </c>
      <c r="D157" s="25" t="n">
        <v>0.3387754123349375</v>
      </c>
      <c r="E157" s="25" t="n">
        <v>0.3504780173668796</v>
      </c>
      <c r="F157" s="25" t="n">
        <v>0.3280730299552982</v>
      </c>
      <c r="G157" s="25" t="n">
        <v>0.3678913240602919</v>
      </c>
      <c r="H157" s="25" t="n">
        <v>0.3180708034322709</v>
      </c>
    </row>
    <row r="158">
      <c r="A158" s="36" t="n">
        <v>44322</v>
      </c>
      <c r="B158" s="25" t="n">
        <v>0.3660418267647382</v>
      </c>
      <c r="C158" s="25" t="n">
        <v>0.392688549785926</v>
      </c>
      <c r="D158" s="25" t="n">
        <v>0.3352734845993643</v>
      </c>
      <c r="E158" s="25" t="n">
        <v>0.3477762249260112</v>
      </c>
      <c r="F158" s="25" t="n">
        <v>0.3249712265702072</v>
      </c>
      <c r="G158" s="25" t="n">
        <v>0.3649925063131745</v>
      </c>
      <c r="H158" s="25" t="n">
        <v>0.3156691877671818</v>
      </c>
    </row>
    <row r="159">
      <c r="A159" s="36" t="n">
        <v>44323</v>
      </c>
      <c r="B159" s="25" t="n">
        <v>0.3636276312539451</v>
      </c>
      <c r="C159" s="25" t="n">
        <v>0.3886708565469166</v>
      </c>
      <c r="D159" s="25" t="n">
        <v>0.3345721850947294</v>
      </c>
      <c r="E159" s="25" t="n">
        <v>0.3430740193945954</v>
      </c>
      <c r="F159" s="25" t="n">
        <v>0.3230697033949105</v>
      </c>
      <c r="G159" s="25" t="n">
        <v>0.3628930322638043</v>
      </c>
      <c r="H159" s="25" t="n">
        <v>0.3135676532950603</v>
      </c>
    </row>
    <row r="160">
      <c r="A160" s="36" t="n">
        <v>44326</v>
      </c>
      <c r="B160" s="25" t="n">
        <v>0.3645993413830955</v>
      </c>
      <c r="C160" s="25" t="n">
        <v>0.3956503841931943</v>
      </c>
      <c r="D160" s="25" t="n">
        <v>0.3354689319723231</v>
      </c>
      <c r="E160" s="25" t="n">
        <v>0.3440706994587929</v>
      </c>
      <c r="F160" s="25" t="n">
        <v>0.3225662807426183</v>
      </c>
      <c r="G160" s="25" t="n">
        <v>0.3644879384088965</v>
      </c>
      <c r="H160" s="25" t="n">
        <v>0.3140645338083168</v>
      </c>
    </row>
    <row r="161">
      <c r="A161" s="36" t="n">
        <v>44327</v>
      </c>
      <c r="B161" s="25" t="n">
        <v>0.3604826980598776</v>
      </c>
      <c r="C161" s="25" t="n">
        <v>0.3888285173293817</v>
      </c>
      <c r="D161" s="25" t="n">
        <v>0.3315669947009841</v>
      </c>
      <c r="E161" s="25" t="n">
        <v>0.3382683487416978</v>
      </c>
      <c r="F161" s="25" t="n">
        <v>0.3200646706012516</v>
      </c>
      <c r="G161" s="25" t="n">
        <v>0.3586916725691272</v>
      </c>
      <c r="H161" s="25" t="n">
        <v>0.3101626698545254</v>
      </c>
    </row>
    <row r="162">
      <c r="A162" s="36" t="n">
        <v>44328</v>
      </c>
      <c r="B162" s="25" t="n">
        <v>0.3636778991273805</v>
      </c>
      <c r="C162" s="25" t="n">
        <v>0.3925237363481697</v>
      </c>
      <c r="D162" s="25" t="n">
        <v>0.3340663556459845</v>
      </c>
      <c r="E162" s="25" t="n">
        <v>0.3411677662001356</v>
      </c>
      <c r="F162" s="25" t="n">
        <v>0.3225640709455988</v>
      </c>
      <c r="G162" s="25" t="n">
        <v>0.3636861338844559</v>
      </c>
      <c r="H162" s="25" t="n">
        <v>0.3132622233183304</v>
      </c>
    </row>
    <row r="163">
      <c r="A163" s="36" t="n">
        <v>44329</v>
      </c>
      <c r="B163" s="25" t="n">
        <v>0.3650701094860467</v>
      </c>
      <c r="C163" s="25" t="n">
        <v>0.387705457838268</v>
      </c>
      <c r="D163" s="25" t="n">
        <v>0.3353654651764215</v>
      </c>
      <c r="E163" s="25" t="n">
        <v>0.3422668123572067</v>
      </c>
      <c r="F163" s="25" t="n">
        <v>0.3221628879610061</v>
      </c>
      <c r="G163" s="25" t="n">
        <v>0.3641844566180673</v>
      </c>
      <c r="H163" s="25" t="n">
        <v>0.3120609160007262</v>
      </c>
    </row>
    <row r="164">
      <c r="A164" s="36" t="n">
        <v>44330</v>
      </c>
      <c r="B164" s="25" t="n">
        <v>0.3747749972560641</v>
      </c>
      <c r="C164" s="25" t="n">
        <v>0.3956069586214466</v>
      </c>
      <c r="D164" s="25" t="n">
        <v>0.3450661770750555</v>
      </c>
      <c r="E164" s="25" t="n">
        <v>0.3509673087989478</v>
      </c>
      <c r="F164" s="25" t="n">
        <v>0.330563395719727</v>
      </c>
      <c r="G164" s="25" t="n">
        <v>0.3741745194248839</v>
      </c>
      <c r="H164" s="25" t="n">
        <v>0.324562244814074</v>
      </c>
    </row>
    <row r="165">
      <c r="A165" s="36" t="n">
        <v>44333</v>
      </c>
      <c r="B165" s="25" t="n">
        <v>0.381053310286169</v>
      </c>
      <c r="C165" s="25" t="n">
        <v>0.4075918456937471</v>
      </c>
      <c r="D165" s="25" t="n">
        <v>0.3520639020096114</v>
      </c>
      <c r="E165" s="25" t="n">
        <v>0.3570648097086115</v>
      </c>
      <c r="F165" s="25" t="n">
        <v>0.3379613422984309</v>
      </c>
      <c r="G165" s="25" t="n">
        <v>0.3834625004704764</v>
      </c>
      <c r="H165" s="25" t="n">
        <v>0.3290597265942106</v>
      </c>
    </row>
    <row r="166">
      <c r="A166" s="36" t="n">
        <v>44334</v>
      </c>
      <c r="B166" s="25" t="n">
        <v>0.3805421422300264</v>
      </c>
      <c r="C166" s="25" t="n">
        <v>0.4030742427568042</v>
      </c>
      <c r="D166" s="25" t="n">
        <v>0.3550632304382972</v>
      </c>
      <c r="E166" s="25" t="n">
        <v>0.3570635866661186</v>
      </c>
      <c r="F166" s="25" t="n">
        <v>0.3350596681600833</v>
      </c>
      <c r="G166" s="25" t="n">
        <v>0.3834611884020284</v>
      </c>
      <c r="H166" s="25" t="n">
        <v>0.3290585994766191</v>
      </c>
    </row>
    <row r="167">
      <c r="A167" s="36" t="n">
        <v>44335</v>
      </c>
      <c r="B167" s="25" t="n">
        <v>0.3750240061455733</v>
      </c>
      <c r="C167" s="25" t="n">
        <v>0.4015610853521359</v>
      </c>
      <c r="D167" s="25" t="n">
        <v>0.3515614028477577</v>
      </c>
      <c r="E167" s="25" t="n">
        <v>0.3507612630973218</v>
      </c>
      <c r="F167" s="25" t="n">
        <v>0.3360586951830628</v>
      </c>
      <c r="G167" s="25" t="n">
        <v>0.3786641301037778</v>
      </c>
      <c r="H167" s="25" t="n">
        <v>0.329057472366749</v>
      </c>
    </row>
    <row r="168">
      <c r="A168" s="36" t="n">
        <v>44336</v>
      </c>
      <c r="B168" s="25" t="n">
        <v>0.3734115226337448</v>
      </c>
      <c r="C168" s="25" t="n">
        <v>0.4035528120713305</v>
      </c>
      <c r="D168" s="25" t="n">
        <v>0.3525603699263573</v>
      </c>
      <c r="E168" s="25" t="n">
        <v>0.3478595649940058</v>
      </c>
      <c r="F168" s="25" t="n">
        <v>0.3300565165268025</v>
      </c>
      <c r="G168" s="25" t="n">
        <v>0.3795620338055157</v>
      </c>
      <c r="H168" s="25" t="n">
        <v>0.3280561740023976</v>
      </c>
    </row>
    <row r="169">
      <c r="A169" s="36" t="n">
        <v>44337</v>
      </c>
      <c r="B169" s="25" t="n">
        <v>0.36979643905517</v>
      </c>
      <c r="C169" s="25" t="n">
        <v>0.403541740967326</v>
      </c>
      <c r="D169" s="25" t="n">
        <v>0.3507588602196944</v>
      </c>
      <c r="E169" s="25" t="n">
        <v>0.3440577357159249</v>
      </c>
      <c r="F169" s="25" t="n">
        <v>0.3336559902175365</v>
      </c>
      <c r="G169" s="25" t="n">
        <v>0.3746651109795696</v>
      </c>
      <c r="H169" s="25" t="n">
        <v>0.3225541272336796</v>
      </c>
    </row>
    <row r="170">
      <c r="A170" s="36" t="n">
        <v>44342</v>
      </c>
      <c r="B170" s="25" t="n">
        <v>0.3781558591178407</v>
      </c>
      <c r="C170" s="25" t="n">
        <v>0.4064900153609831</v>
      </c>
      <c r="D170" s="25" t="n">
        <v>0.3665552343503816</v>
      </c>
      <c r="E170" s="25" t="n">
        <v>0.354553425858691</v>
      </c>
      <c r="F170" s="25" t="n">
        <v>0.3470522955513845</v>
      </c>
      <c r="G170" s="25" t="n">
        <v>0.3871473246973647</v>
      </c>
      <c r="H170" s="25" t="n">
        <v>0.3345504117058735</v>
      </c>
    </row>
    <row r="171">
      <c r="A171" s="36" t="n">
        <v>44343</v>
      </c>
      <c r="B171" s="25" t="n">
        <v>0.3814493787201361</v>
      </c>
      <c r="C171" s="25" t="n">
        <v>0.4104835833996215</v>
      </c>
      <c r="D171" s="25" t="n">
        <v>0.3665539788393496</v>
      </c>
      <c r="E171" s="25" t="n">
        <v>0.3566525207479183</v>
      </c>
      <c r="F171" s="25" t="n">
        <v>0.352551916891871</v>
      </c>
      <c r="G171" s="25" t="n">
        <v>0.3867463654808788</v>
      </c>
      <c r="H171" s="25" t="n">
        <v>0.3380497813034111</v>
      </c>
    </row>
    <row r="172">
      <c r="A172" s="36" t="n">
        <v>44344</v>
      </c>
      <c r="B172" s="25" t="n">
        <v>0.3768336167644961</v>
      </c>
      <c r="C172" s="25" t="n">
        <v>0.4005609194141204</v>
      </c>
      <c r="D172" s="25" t="n">
        <v>0.3632522486111016</v>
      </c>
      <c r="E172" s="25" t="n">
        <v>0.353550853204913</v>
      </c>
      <c r="F172" s="25" t="n">
        <v>0.3460497742826023</v>
      </c>
      <c r="G172" s="25" t="n">
        <v>0.3851465093681142</v>
      </c>
      <c r="H172" s="25" t="n">
        <v>0.3350481918632132</v>
      </c>
    </row>
    <row r="173">
      <c r="A173" s="36" t="n">
        <v>44347</v>
      </c>
      <c r="B173" s="25" t="n">
        <v>0.3764021831546036</v>
      </c>
      <c r="C173" s="25" t="n">
        <v>0.4054332026000384</v>
      </c>
      <c r="D173" s="25" t="n">
        <v>0.3625484225632876</v>
      </c>
      <c r="E173" s="25" t="n">
        <v>0.3530471535581807</v>
      </c>
      <c r="F173" s="25" t="n">
        <v>0.3440459513428163</v>
      </c>
      <c r="G173" s="25" t="n">
        <v>0.3854422778859346</v>
      </c>
      <c r="H173" s="25" t="n">
        <v>0.334044615547967</v>
      </c>
    </row>
    <row r="174">
      <c r="A174" s="36" t="n">
        <v>44348</v>
      </c>
      <c r="B174" s="25" t="n">
        <v>0.3788944654709012</v>
      </c>
      <c r="C174" s="25" t="n">
        <v>0.4084252098074708</v>
      </c>
      <c r="D174" s="25" t="n">
        <v>0.3680478966440838</v>
      </c>
      <c r="E174" s="25" t="n">
        <v>0.3560463347969942</v>
      </c>
      <c r="F174" s="25" t="n">
        <v>0.3490454237195251</v>
      </c>
      <c r="G174" s="25" t="n">
        <v>0.3876389116986916</v>
      </c>
      <c r="H174" s="25" t="n">
        <v>0.3371438748878279</v>
      </c>
    </row>
    <row r="175">
      <c r="A175" s="36" t="n">
        <v>44349</v>
      </c>
      <c r="B175" s="25" t="n">
        <v>0.3838891479033541</v>
      </c>
      <c r="C175" s="25" t="n">
        <v>0.4194251707210048</v>
      </c>
      <c r="D175" s="25" t="n">
        <v>0.3760476498734429</v>
      </c>
      <c r="E175" s="25" t="n">
        <v>0.3630460024044142</v>
      </c>
      <c r="F175" s="25" t="n">
        <v>0.3536448111575782</v>
      </c>
      <c r="G175" s="25" t="n">
        <v>0.3947309535947556</v>
      </c>
      <c r="H175" s="25" t="n">
        <v>0.3420433411082912</v>
      </c>
    </row>
    <row r="176">
      <c r="A176" s="36" t="n">
        <v>44350</v>
      </c>
      <c r="B176" s="25" t="n">
        <v>0.3823771390960948</v>
      </c>
      <c r="C176" s="25" t="n">
        <v>0.4184126810004388</v>
      </c>
      <c r="D176" s="25" t="n">
        <v>0.3696455727418449</v>
      </c>
      <c r="E176" s="25" t="n">
        <v>0.360544450685701</v>
      </c>
      <c r="F176" s="25" t="n">
        <v>0.3450425394911701</v>
      </c>
      <c r="G176" s="25" t="n">
        <v>0.3882356966408234</v>
      </c>
      <c r="H176" s="25" t="n">
        <v>0.3327410228658328</v>
      </c>
    </row>
    <row r="177">
      <c r="A177" s="36" t="n">
        <v>44351</v>
      </c>
      <c r="B177" s="25" t="n">
        <v>0.3808652132181544</v>
      </c>
      <c r="C177" s="25" t="n">
        <v>0.4177005347593583</v>
      </c>
      <c r="D177" s="25" t="n">
        <v>0.3701443666192865</v>
      </c>
      <c r="E177" s="25" t="n">
        <v>0.3585429760416489</v>
      </c>
      <c r="F177" s="25" t="n">
        <v>0.3461414895621051</v>
      </c>
      <c r="G177" s="25" t="n">
        <v>0.3908319219912753</v>
      </c>
      <c r="H177" s="25" t="n">
        <v>0.3354402068741116</v>
      </c>
    </row>
    <row r="178">
      <c r="A178" s="36" t="n">
        <v>44354</v>
      </c>
      <c r="B178" s="25" t="n">
        <v>0.3820349347373039</v>
      </c>
      <c r="C178" s="25" t="n">
        <v>0.423871613469343</v>
      </c>
      <c r="D178" s="25" t="n">
        <v>0.3730408811924594</v>
      </c>
      <c r="E178" s="25" t="n">
        <v>0.3650400043840421</v>
      </c>
      <c r="F178" s="25" t="n">
        <v>0.3535387439719421</v>
      </c>
      <c r="G178" s="25" t="n">
        <v>0.3949240107021398</v>
      </c>
      <c r="H178" s="25" t="n">
        <v>0.3380370451556335</v>
      </c>
    </row>
    <row r="179">
      <c r="A179" s="36" t="n">
        <v>44355</v>
      </c>
      <c r="B179" s="25" t="n">
        <v>0.3878293893443747</v>
      </c>
      <c r="C179" s="25" t="n">
        <v>0.42536126573254</v>
      </c>
      <c r="D179" s="25" t="n">
        <v>0.3755398689586908</v>
      </c>
      <c r="E179" s="25" t="n">
        <v>0.370239306227716</v>
      </c>
      <c r="F179" s="25" t="n">
        <v>0.3590381170603728</v>
      </c>
      <c r="G179" s="25" t="n">
        <v>0.3992185548739389</v>
      </c>
      <c r="H179" s="25" t="n">
        <v>0.3409361952810059</v>
      </c>
    </row>
    <row r="180">
      <c r="A180" s="36" t="n">
        <v>44356</v>
      </c>
      <c r="B180" s="25" t="n">
        <v>0.3933232794077324</v>
      </c>
      <c r="C180" s="25" t="n">
        <v>0.4403619413216342</v>
      </c>
      <c r="D180" s="25" t="n">
        <v>0.3815391992327979</v>
      </c>
      <c r="E180" s="25" t="n">
        <v>0.3765386854813851</v>
      </c>
      <c r="F180" s="25" t="n">
        <v>0.364037401102853</v>
      </c>
      <c r="G180" s="25" t="n">
        <v>0.4043123032708362</v>
      </c>
      <c r="H180" s="25" t="n">
        <v>0.3474356954481625</v>
      </c>
    </row>
    <row r="181">
      <c r="A181" s="36" t="n">
        <v>44357</v>
      </c>
      <c r="B181" s="25" t="n">
        <v>0.3953140851635546</v>
      </c>
      <c r="C181" s="25" t="n">
        <v>0.4403498670176305</v>
      </c>
      <c r="D181" s="25" t="n">
        <v>0.3833380712468019</v>
      </c>
      <c r="E181" s="25" t="n">
        <v>0.3797377136770432</v>
      </c>
      <c r="F181" s="25" t="n">
        <v>0.3700367502251936</v>
      </c>
      <c r="G181" s="25" t="n">
        <v>0.4042110161112081</v>
      </c>
      <c r="H181" s="25" t="n">
        <v>0.3505348133890009</v>
      </c>
    </row>
    <row r="182">
      <c r="A182" s="36" t="n">
        <v>44358</v>
      </c>
      <c r="B182" s="25" t="n">
        <v>0.399306317174819</v>
      </c>
      <c r="C182" s="25" t="n">
        <v>0.4493447027856986</v>
      </c>
      <c r="D182" s="25" t="n">
        <v>0.3866370747879934</v>
      </c>
      <c r="E182" s="25" t="n">
        <v>0.3830367295494088</v>
      </c>
      <c r="F182" s="25" t="n">
        <v>0.377036154151768</v>
      </c>
      <c r="G182" s="25" t="n">
        <v>0.405608282412191</v>
      </c>
      <c r="H182" s="25" t="n">
        <v>0.3515337087117943</v>
      </c>
    </row>
    <row r="183">
      <c r="A183" s="36" t="n">
        <v>44361</v>
      </c>
      <c r="B183" s="25" t="n">
        <v>0.3987731322823852</v>
      </c>
      <c r="C183" s="25" t="n">
        <v>0.4528101439342015</v>
      </c>
      <c r="D183" s="25" t="n">
        <v>0.3870331363986643</v>
      </c>
      <c r="E183" s="25" t="n">
        <v>0.3830327939035876</v>
      </c>
      <c r="F183" s="25" t="n">
        <v>0.3800325370322802</v>
      </c>
      <c r="G183" s="25" t="n">
        <v>0.4058039242520143</v>
      </c>
      <c r="H183" s="25" t="n">
        <v>0.3509300453805977</v>
      </c>
    </row>
    <row r="184">
      <c r="A184" s="36" t="n">
        <v>44362</v>
      </c>
      <c r="B184" s="25" t="n">
        <v>0.3972612128522864</v>
      </c>
      <c r="C184" s="25" t="n">
        <v>0.4402895054282268</v>
      </c>
      <c r="D184" s="25" t="n">
        <v>0.3825314409403512</v>
      </c>
      <c r="E184" s="25" t="n">
        <v>0.3806312847631312</v>
      </c>
      <c r="F184" s="25" t="n">
        <v>0.3828314655999123</v>
      </c>
      <c r="G184" s="25" t="n">
        <v>0.4029053735040337</v>
      </c>
      <c r="H184" s="25" t="n">
        <v>0.3473285475518536</v>
      </c>
    </row>
    <row r="185">
      <c r="A185" s="36" t="n">
        <v>44363</v>
      </c>
      <c r="B185" s="25" t="n">
        <v>0.3951489979987389</v>
      </c>
      <c r="C185" s="25" t="n">
        <v>0.4352742824245415</v>
      </c>
      <c r="D185" s="25" t="n">
        <v>0.3854303592406251</v>
      </c>
      <c r="E185" s="25" t="n">
        <v>0.3796299023553225</v>
      </c>
      <c r="F185" s="25" t="n">
        <v>0.3720293036780294</v>
      </c>
      <c r="G185" s="25" t="n">
        <v>0.4004064498250007</v>
      </c>
      <c r="H185" s="25" t="n">
        <v>0.3444271295341756</v>
      </c>
    </row>
    <row r="186">
      <c r="A186" s="36" t="n">
        <v>44364</v>
      </c>
      <c r="B186" s="25" t="n">
        <v>0.3934371401940896</v>
      </c>
      <c r="C186" s="25" t="n">
        <v>0.4312599374965733</v>
      </c>
      <c r="D186" s="25" t="n">
        <v>0.3798286172245854</v>
      </c>
      <c r="E186" s="25" t="n">
        <v>0.3753282781579434</v>
      </c>
      <c r="F186" s="25" t="n">
        <v>0.3700278788127873</v>
      </c>
      <c r="G186" s="25" t="n">
        <v>0.3964090212393256</v>
      </c>
      <c r="H186" s="25" t="n">
        <v>0.341425723855907</v>
      </c>
    </row>
    <row r="187">
      <c r="A187" s="36" t="n">
        <v>44365</v>
      </c>
      <c r="B187" s="25" t="n">
        <v>0.3923257216480715</v>
      </c>
      <c r="C187" s="25" t="n">
        <v>0.4322486910277146</v>
      </c>
      <c r="D187" s="25" t="n">
        <v>0.3790272588097089</v>
      </c>
      <c r="E187" s="25" t="n">
        <v>0.3730268272718243</v>
      </c>
      <c r="F187" s="25" t="n">
        <v>0.3690265395799013</v>
      </c>
      <c r="G187" s="25" t="n">
        <v>0.3967073683922419</v>
      </c>
      <c r="H187" s="25" t="n">
        <v>0.3381243171597957</v>
      </c>
    </row>
    <row r="188">
      <c r="A188" s="36" t="n">
        <v>44369</v>
      </c>
      <c r="B188" s="25" t="n">
        <v>0.3861798645944687</v>
      </c>
      <c r="C188" s="25" t="n">
        <v>0.4216964065455143</v>
      </c>
      <c r="D188" s="25" t="n">
        <v>0.3732217286622851</v>
      </c>
      <c r="E188" s="25" t="n">
        <v>0.3665213385710812</v>
      </c>
      <c r="F188" s="25" t="n">
        <v>0.3620210765695263</v>
      </c>
      <c r="G188" s="25" t="n">
        <v>0.3871115627127574</v>
      </c>
      <c r="H188" s="25" t="n">
        <v>0.3335194172263454</v>
      </c>
    </row>
    <row r="189">
      <c r="A189" s="36" t="n">
        <v>44370</v>
      </c>
      <c r="B189" s="25" t="n">
        <v>0.3856690604100427</v>
      </c>
      <c r="C189" s="25" t="n">
        <v>0.4161824361363886</v>
      </c>
      <c r="D189" s="25" t="n">
        <v>0.3735204668748973</v>
      </c>
      <c r="E189" s="25" t="n">
        <v>0.3654200230149597</v>
      </c>
      <c r="F189" s="25" t="n">
        <v>0.3600197271083347</v>
      </c>
      <c r="G189" s="25" t="n">
        <v>0.3888085283994882</v>
      </c>
      <c r="H189" s="25" t="n">
        <v>0.3330182475752096</v>
      </c>
    </row>
    <row r="190">
      <c r="A190" s="36" t="n">
        <v>44371</v>
      </c>
      <c r="B190" s="25" t="n">
        <v>0.3817568863916678</v>
      </c>
      <c r="C190" s="25" t="n">
        <v>0.4071673290393313</v>
      </c>
      <c r="D190" s="25" t="n">
        <v>0.3711190643354967</v>
      </c>
      <c r="E190" s="25" t="n">
        <v>0.3600184941007243</v>
      </c>
      <c r="F190" s="25" t="n">
        <v>0.3575183656694693</v>
      </c>
      <c r="G190" s="25" t="n">
        <v>0.3841119417027319</v>
      </c>
      <c r="H190" s="25" t="n">
        <v>0.329516927239413</v>
      </c>
    </row>
    <row r="191">
      <c r="A191" s="36" t="n">
        <v>44372</v>
      </c>
      <c r="B191" s="25" t="n">
        <v>0.3746436989530231</v>
      </c>
      <c r="C191" s="25" t="n">
        <v>0.4001534835279285</v>
      </c>
      <c r="D191" s="25" t="n">
        <v>0.3620173569965683</v>
      </c>
      <c r="E191" s="25" t="n">
        <v>0.3499167768317659</v>
      </c>
      <c r="F191" s="25" t="n">
        <v>0.3475166617577555</v>
      </c>
      <c r="G191" s="25" t="n">
        <v>0.3747201467006048</v>
      </c>
      <c r="H191" s="25" t="n">
        <v>0.320615371969889</v>
      </c>
    </row>
    <row r="192">
      <c r="A192" s="36" t="n">
        <v>44375</v>
      </c>
      <c r="B192" s="25" t="n">
        <v>0.3725122639699636</v>
      </c>
      <c r="C192" s="25" t="n">
        <v>0.4051220915892461</v>
      </c>
      <c r="D192" s="25" t="n">
        <v>0.3600135621547387</v>
      </c>
      <c r="E192" s="25" t="n">
        <v>0.3485131289192401</v>
      </c>
      <c r="F192" s="25" t="n">
        <v>0.3450129970649579</v>
      </c>
      <c r="G192" s="25" t="n">
        <v>0.3749160961891762</v>
      </c>
      <c r="H192" s="25" t="n">
        <v>0.3200120552486566</v>
      </c>
    </row>
    <row r="193">
      <c r="A193" s="36" t="n">
        <v>44376</v>
      </c>
      <c r="B193" s="25" t="n">
        <v>0.3673006303096739</v>
      </c>
      <c r="C193" s="25" t="n">
        <v>0.3951082488352973</v>
      </c>
      <c r="D193" s="25" t="n">
        <v>0.3535121065789925</v>
      </c>
      <c r="E193" s="25" t="n">
        <v>0.3415116956060139</v>
      </c>
      <c r="F193" s="25" t="n">
        <v>0.3410116784821398</v>
      </c>
      <c r="G193" s="25" t="n">
        <v>0.373616147793363</v>
      </c>
      <c r="H193" s="25" t="n">
        <v>0.3140107537929381</v>
      </c>
    </row>
    <row r="194">
      <c r="A194" s="36" t="n">
        <v>44377</v>
      </c>
      <c r="B194" s="25" t="n">
        <v>0.3636896769066345</v>
      </c>
      <c r="C194" s="25" t="n">
        <v>0.3955975446000383</v>
      </c>
      <c r="D194" s="25" t="n">
        <v>0.3501107910860266</v>
      </c>
      <c r="E194" s="25" t="n">
        <v>0.3393104581990541</v>
      </c>
      <c r="F194" s="25" t="n">
        <v>0.3390104489521937</v>
      </c>
      <c r="G194" s="25" t="n">
        <v>0.375512913058799</v>
      </c>
      <c r="H194" s="25" t="n">
        <v>0.3130096475576302</v>
      </c>
    </row>
    <row r="195">
      <c r="A195" s="36" t="n">
        <v>44378</v>
      </c>
      <c r="B195" s="25" t="n">
        <v>0.3625794694727612</v>
      </c>
      <c r="C195" s="25" t="n">
        <v>0.400087690452702</v>
      </c>
      <c r="D195" s="25" t="n">
        <v>0.3525096577988438</v>
      </c>
      <c r="E195" s="25" t="n">
        <v>0.3380092605276857</v>
      </c>
      <c r="F195" s="25" t="n">
        <v>0.3435094112167457</v>
      </c>
      <c r="G195" s="25" t="n">
        <v>0.3750121449733494</v>
      </c>
      <c r="H195" s="25" t="n">
        <v>0.3135085892764186</v>
      </c>
    </row>
    <row r="196">
      <c r="A196" s="36" t="n">
        <v>44379</v>
      </c>
      <c r="B196" s="25" t="n">
        <v>0.3650700134272326</v>
      </c>
      <c r="C196" s="25" t="n">
        <v>0.3970761515907161</v>
      </c>
      <c r="D196" s="25" t="n">
        <v>0.357308565616299</v>
      </c>
      <c r="E196" s="25" t="n">
        <v>0.3406081652642358</v>
      </c>
      <c r="F196" s="25" t="n">
        <v>0.3475083306791601</v>
      </c>
      <c r="G196" s="25" t="n">
        <v>0.371814179122349</v>
      </c>
      <c r="H196" s="25" t="n">
        <v>0.3175076114838369</v>
      </c>
    </row>
    <row r="197">
      <c r="A197" s="36" t="n">
        <v>44382</v>
      </c>
      <c r="B197" s="25" t="n">
        <v>0.3640398947829899</v>
      </c>
      <c r="C197" s="25" t="n">
        <v>0.3955433472161333</v>
      </c>
      <c r="D197" s="25" t="n">
        <v>0.3566048849984246</v>
      </c>
      <c r="E197" s="25" t="n">
        <v>0.3380046302004137</v>
      </c>
      <c r="F197" s="25" t="n">
        <v>0.3490047808874094</v>
      </c>
      <c r="G197" s="25" t="n">
        <v>0.3741079553618469</v>
      </c>
      <c r="H197" s="25" t="n">
        <v>0.3150043151276045</v>
      </c>
    </row>
    <row r="198">
      <c r="A198" s="36" t="n">
        <v>44383</v>
      </c>
      <c r="B198" s="25" t="n">
        <v>0.3630298380688823</v>
      </c>
      <c r="C198" s="25" t="n">
        <v>0.3980327150176727</v>
      </c>
      <c r="D198" s="25" t="n">
        <v>0.354003637023668</v>
      </c>
      <c r="E198" s="25" t="n">
        <v>0.3377034695561941</v>
      </c>
      <c r="F198" s="25" t="n">
        <v>0.3460035548310428</v>
      </c>
      <c r="G198" s="25" t="n">
        <v>0.3698111916580855</v>
      </c>
      <c r="H198" s="25" t="n">
        <v>0.3108031931834916</v>
      </c>
    </row>
    <row r="199">
      <c r="A199" s="36" t="n">
        <v>44384</v>
      </c>
      <c r="B199" s="25" t="n">
        <v>0.3560195079182421</v>
      </c>
      <c r="C199" s="25" t="n">
        <v>0.3890213162365061</v>
      </c>
      <c r="D199" s="25" t="n">
        <v>0.3570024452222276</v>
      </c>
      <c r="E199" s="25" t="n">
        <v>0.3376023123446051</v>
      </c>
      <c r="F199" s="25" t="n">
        <v>0.3470023767286077</v>
      </c>
      <c r="G199" s="25" t="n">
        <v>0.3697100318841769</v>
      </c>
      <c r="H199" s="25" t="n">
        <v>0.3126021411105556</v>
      </c>
    </row>
    <row r="200">
      <c r="A200" s="36" t="n">
        <v>44385</v>
      </c>
      <c r="B200" s="25" t="n">
        <v>0.3554097372530754</v>
      </c>
      <c r="C200" s="25" t="n">
        <v>0.3904106961834571</v>
      </c>
      <c r="D200" s="25" t="n">
        <v>0.356601221237059</v>
      </c>
      <c r="E200" s="25" t="n">
        <v>0.3386011595930123</v>
      </c>
      <c r="F200" s="25" t="n">
        <v>0.3505012003465765</v>
      </c>
      <c r="G200" s="25" t="n">
        <v>0.3681104584532122</v>
      </c>
      <c r="H200" s="25" t="n">
        <v>0.3150010787708177</v>
      </c>
    </row>
    <row r="201">
      <c r="A201" s="36" t="n">
        <v>44389</v>
      </c>
      <c r="B201" s="25" t="n">
        <v>0.357970577760732</v>
      </c>
      <c r="C201" s="25" t="n">
        <v>0.3914678245623647</v>
      </c>
      <c r="D201" s="25" t="n">
        <v>0.3595963055174091</v>
      </c>
      <c r="E201" s="25" t="n">
        <v>0.3428964770909888</v>
      </c>
      <c r="F201" s="25" t="n">
        <v>0.3524963784618651</v>
      </c>
      <c r="G201" s="25" t="n">
        <v>0.37060274431859</v>
      </c>
      <c r="H201" s="25" t="n">
        <v>0.3189967226364113</v>
      </c>
    </row>
    <row r="202">
      <c r="A202" s="36" t="n">
        <v>44390</v>
      </c>
      <c r="B202" s="25" t="n">
        <v>0.3604604974797282</v>
      </c>
      <c r="C202" s="25" t="n">
        <v>0.3930569252684638</v>
      </c>
      <c r="D202" s="25" t="n">
        <v>0.3649950000684922</v>
      </c>
      <c r="E202" s="25" t="n">
        <v>0.3474952397912358</v>
      </c>
      <c r="F202" s="25" t="n">
        <v>0.3599950685607046</v>
      </c>
      <c r="G202" s="25" t="n">
        <v>0.3736981465136804</v>
      </c>
      <c r="H202" s="25" t="n">
        <v>0.3274955137600855</v>
      </c>
    </row>
    <row r="203">
      <c r="A203" s="36" t="n">
        <v>44391</v>
      </c>
      <c r="B203" s="25" t="n">
        <v>0.3639501438159156</v>
      </c>
      <c r="C203" s="25" t="n">
        <v>0.3949458978222161</v>
      </c>
      <c r="D203" s="25" t="n">
        <v>0.3681936953134364</v>
      </c>
      <c r="E203" s="25" t="n">
        <v>0.3508939915412408</v>
      </c>
      <c r="F203" s="25" t="n">
        <v>0.3627937877776066</v>
      </c>
      <c r="G203" s="25" t="n">
        <v>0.3765937430511606</v>
      </c>
      <c r="H203" s="25" t="n">
        <v>0.325994417903803</v>
      </c>
    </row>
    <row r="204">
      <c r="A204" s="36" t="n">
        <v>44392</v>
      </c>
      <c r="B204" s="25" t="n">
        <v>0.3636402235249</v>
      </c>
      <c r="C204" s="25" t="n">
        <v>0.3949350791650688</v>
      </c>
      <c r="D204" s="25" t="n">
        <v>0.3699923974164914</v>
      </c>
      <c r="E204" s="25" t="n">
        <v>0.3528927487791347</v>
      </c>
      <c r="F204" s="25" t="n">
        <v>0.3634925309753909</v>
      </c>
      <c r="G204" s="25" t="n">
        <v>0.3750940762736217</v>
      </c>
      <c r="H204" s="25" t="n">
        <v>0.3271932768504757</v>
      </c>
    </row>
    <row r="205">
      <c r="A205" s="36" t="n">
        <v>44393</v>
      </c>
      <c r="B205" s="25" t="n">
        <v>0.3639302051661325</v>
      </c>
      <c r="C205" s="25" t="n">
        <v>0.3970238584381078</v>
      </c>
      <c r="D205" s="25" t="n">
        <v>0.3719910824055588</v>
      </c>
      <c r="E205" s="25" t="n">
        <v>0.3556914731496163</v>
      </c>
      <c r="F205" s="25" t="n">
        <v>0.3674911902796851</v>
      </c>
      <c r="G205" s="25" t="n">
        <v>0.3774901904439358</v>
      </c>
      <c r="H205" s="25" t="n">
        <v>0.3264921731328359</v>
      </c>
    </row>
    <row r="206">
      <c r="A206" s="36" t="n">
        <v>44396</v>
      </c>
      <c r="B206" s="25" t="n">
        <v>0.3658997534921939</v>
      </c>
      <c r="C206" s="25" t="n">
        <v>0.3988907148726376</v>
      </c>
      <c r="D206" s="25" t="n">
        <v>0.3764871066059381</v>
      </c>
      <c r="E206" s="25" t="n">
        <v>0.3583877264477244</v>
      </c>
      <c r="F206" s="25" t="n">
        <v>0.365987466182665</v>
      </c>
      <c r="G206" s="25" t="n">
        <v>0.379883689107827</v>
      </c>
      <c r="H206" s="25" t="n">
        <v>0.3293887195643985</v>
      </c>
    </row>
    <row r="207">
      <c r="A207" s="36" t="n">
        <v>44397</v>
      </c>
      <c r="B207" s="25" t="n">
        <v>0.3698885267453644</v>
      </c>
      <c r="C207" s="25" t="n">
        <v>0.4088767768617677</v>
      </c>
      <c r="D207" s="25" t="n">
        <v>0.3819856101311253</v>
      </c>
      <c r="E207" s="25" t="n">
        <v>0.3618863672943827</v>
      </c>
      <c r="F207" s="25" t="n">
        <v>0.3759858361500081</v>
      </c>
      <c r="G207" s="25" t="n">
        <v>0.3818801933490922</v>
      </c>
      <c r="H207" s="25" t="n">
        <v>0.3311875237576666</v>
      </c>
    </row>
    <row r="208">
      <c r="A208" s="36" t="n">
        <v>44398</v>
      </c>
      <c r="B208" s="25" t="n">
        <v>0.3718777388255916</v>
      </c>
      <c r="C208" s="25" t="n">
        <v>0.4003683720420683</v>
      </c>
      <c r="D208" s="25" t="n">
        <v>0.3814843225620865</v>
      </c>
      <c r="E208" s="25" t="n">
        <v>0.3631850745859759</v>
      </c>
      <c r="F208" s="25" t="n">
        <v>0.3784844458446913</v>
      </c>
      <c r="G208" s="25" t="n">
        <v>0.3834771245407462</v>
      </c>
      <c r="H208" s="25" t="n">
        <v>0.3325863320685451</v>
      </c>
    </row>
    <row r="209">
      <c r="A209" s="36" t="n">
        <v>44399</v>
      </c>
      <c r="B209" s="25" t="n">
        <v>0.3718675540218553</v>
      </c>
      <c r="C209" s="25" t="n">
        <v>0.4058554487442829</v>
      </c>
      <c r="D209" s="25" t="n">
        <v>0.3854828380928246</v>
      </c>
      <c r="E209" s="25" t="n">
        <v>0.3629838397605586</v>
      </c>
      <c r="F209" s="25" t="n">
        <v>0.3820829894559489</v>
      </c>
      <c r="G209" s="25" t="n">
        <v>0.3853737133239601</v>
      </c>
      <c r="H209" s="25" t="n">
        <v>0.3329851753175372</v>
      </c>
    </row>
    <row r="210">
      <c r="A210" s="36" t="n">
        <v>44400</v>
      </c>
      <c r="B210" s="25" t="n">
        <v>0.3698581366051378</v>
      </c>
      <c r="C210" s="25" t="n">
        <v>0.4053445253875226</v>
      </c>
      <c r="D210" s="25" t="n">
        <v>0.3858814988322478</v>
      </c>
      <c r="E210" s="25" t="n">
        <v>0.3627826063133959</v>
      </c>
      <c r="F210" s="25" t="n">
        <v>0.3849815419808639</v>
      </c>
      <c r="G210" s="25" t="n">
        <v>0.3890682940846458</v>
      </c>
      <c r="H210" s="25" t="n">
        <v>0.3333840158348573</v>
      </c>
    </row>
    <row r="211">
      <c r="A211" s="36" t="n">
        <v>44403</v>
      </c>
      <c r="B211" s="25" t="n">
        <v>0.3704274721362653</v>
      </c>
      <c r="C211" s="25" t="n">
        <v>0.4053112249089465</v>
      </c>
      <c r="D211" s="25" t="n">
        <v>0.3844776160292038</v>
      </c>
      <c r="E211" s="25" t="n">
        <v>0.3621789142412942</v>
      </c>
      <c r="F211" s="25" t="n">
        <v>0.3829777033528869</v>
      </c>
      <c r="G211" s="25" t="n">
        <v>0.3855682164151789</v>
      </c>
      <c r="H211" s="25" t="n">
        <v>0.3349804977107497</v>
      </c>
    </row>
    <row r="212">
      <c r="A212" s="36" t="n">
        <v>44404</v>
      </c>
      <c r="B212" s="25" t="n">
        <v>0.3703173777315296</v>
      </c>
      <c r="C212" s="25" t="n">
        <v>0.4028013582342954</v>
      </c>
      <c r="D212" s="25" t="n">
        <v>0.3839763302262189</v>
      </c>
      <c r="E212" s="25" t="n">
        <v>0.3611777356190372</v>
      </c>
      <c r="F212" s="25" t="n">
        <v>0.3829763918662548</v>
      </c>
      <c r="G212" s="25" t="n">
        <v>0.3857666730521879</v>
      </c>
      <c r="H212" s="25" t="n">
        <v>0.3344793814079954</v>
      </c>
    </row>
    <row r="213">
      <c r="A213" s="36" t="n">
        <v>44405</v>
      </c>
      <c r="B213" s="25" t="n">
        <v>0.3696076015224951</v>
      </c>
      <c r="C213" s="25" t="n">
        <v>0.4027903283222432</v>
      </c>
      <c r="D213" s="25" t="n">
        <v>0.3844749827922156</v>
      </c>
      <c r="E213" s="25" t="n">
        <v>0.3600765703601478</v>
      </c>
      <c r="F213" s="25" t="n">
        <v>0.3799752755813834</v>
      </c>
      <c r="G213" s="25" t="n">
        <v>0.3864645656092964</v>
      </c>
      <c r="H213" s="25" t="n">
        <v>0.3370780668381167</v>
      </c>
    </row>
    <row r="214">
      <c r="A214" s="36" t="n">
        <v>44406</v>
      </c>
      <c r="B214" s="25" t="n">
        <v>0.3683981380065717</v>
      </c>
      <c r="C214" s="25" t="n">
        <v>0.4097754654983571</v>
      </c>
      <c r="D214" s="25" t="n">
        <v>0.3844736661872475</v>
      </c>
      <c r="E214" s="25" t="n">
        <v>0.3590754057941237</v>
      </c>
      <c r="F214" s="25" t="n">
        <v>0.3814738716526265</v>
      </c>
      <c r="G214" s="25" t="n">
        <v>0.3863633564806896</v>
      </c>
      <c r="H214" s="25" t="n">
        <v>0.3349770563660023</v>
      </c>
    </row>
    <row r="215">
      <c r="A215" s="36" t="n">
        <v>44407</v>
      </c>
      <c r="B215" s="25" t="n">
        <v>0.3677883957175324</v>
      </c>
      <c r="C215" s="25" t="n">
        <v>0.4087648202404096</v>
      </c>
      <c r="D215" s="25" t="n">
        <v>0.3847723280175055</v>
      </c>
      <c r="E215" s="25" t="n">
        <v>0.3586742049373161</v>
      </c>
      <c r="F215" s="25" t="n">
        <v>0.380972601285524</v>
      </c>
      <c r="G215" s="25" t="n">
        <v>0.387760449627306</v>
      </c>
      <c r="H215" s="25" t="n">
        <v>0.3357758517366902</v>
      </c>
    </row>
    <row r="216">
      <c r="A216" s="36" t="n">
        <v>44409</v>
      </c>
      <c r="B216" s="25" t="n">
        <v>0.3672685704898283</v>
      </c>
      <c r="C216" s="25" t="n">
        <v>0.4047449552336884</v>
      </c>
      <c r="D216" s="25" t="n">
        <v>0.3829698345678251</v>
      </c>
      <c r="E216" s="25" t="n">
        <v>0.357771819342997</v>
      </c>
      <c r="F216" s="25" t="n">
        <v>0.3804700314701239</v>
      </c>
      <c r="G216" s="25" t="n">
        <v>0.3895557463577495</v>
      </c>
      <c r="H216" s="25" t="n">
        <v>0.3359735363310424</v>
      </c>
    </row>
    <row r="217">
      <c r="A217" s="36" t="n">
        <v>44410</v>
      </c>
      <c r="B217" s="25" t="n">
        <v>0.366259172051254</v>
      </c>
      <c r="C217" s="25" t="n">
        <v>0.3998370934180265</v>
      </c>
      <c r="D217" s="25" t="n">
        <v>0.3822685806646029</v>
      </c>
      <c r="E217" s="25" t="n">
        <v>0.3558707503492864</v>
      </c>
      <c r="F217" s="25" t="n">
        <v>0.3789688518751883</v>
      </c>
      <c r="G217" s="25" t="n">
        <v>0.3891548707984703</v>
      </c>
      <c r="H217" s="25" t="n">
        <v>0.3369723036462757</v>
      </c>
    </row>
    <row r="218">
      <c r="A218" s="36" t="n">
        <v>44411</v>
      </c>
      <c r="B218" s="25" t="n">
        <v>0.364050650239562</v>
      </c>
      <c r="C218" s="25" t="n">
        <v>0.4047227926078029</v>
      </c>
      <c r="D218" s="25" t="n">
        <v>0.3814673401249893</v>
      </c>
      <c r="E218" s="25" t="n">
        <v>0.3540696858145707</v>
      </c>
      <c r="F218" s="25" t="n">
        <v>0.3759678109750877</v>
      </c>
      <c r="G218" s="25" t="n">
        <v>0.3874554877110165</v>
      </c>
      <c r="H218" s="25" t="n">
        <v>0.3342713808749251</v>
      </c>
    </row>
    <row r="219">
      <c r="A219" s="36" t="n">
        <v>44412</v>
      </c>
      <c r="B219" s="25" t="n">
        <v>0.3627416087170782</v>
      </c>
      <c r="C219" s="25" t="n">
        <v>0.4097081530964244</v>
      </c>
      <c r="D219" s="25" t="n">
        <v>0.3769664344955587</v>
      </c>
      <c r="E219" s="25" t="n">
        <v>0.3518686692280824</v>
      </c>
      <c r="F219" s="25" t="n">
        <v>0.3714669241779842</v>
      </c>
      <c r="G219" s="25" t="n">
        <v>0.3865551967598927</v>
      </c>
      <c r="H219" s="25" t="n">
        <v>0.3301706012478342</v>
      </c>
    </row>
    <row r="220">
      <c r="A220" s="36" t="n">
        <v>44413</v>
      </c>
      <c r="B220" s="25" t="n">
        <v>0.3622320475264872</v>
      </c>
      <c r="C220" s="25" t="n">
        <v>0.4037013715881403</v>
      </c>
      <c r="D220" s="25" t="n">
        <v>0.3739654210055919</v>
      </c>
      <c r="E220" s="25" t="n">
        <v>0.3496676677156564</v>
      </c>
      <c r="F220" s="25" t="n">
        <v>0.3699657908344092</v>
      </c>
      <c r="G220" s="25" t="n">
        <v>0.3835573328042636</v>
      </c>
      <c r="H220" s="25" t="n">
        <v>0.3274697202655919</v>
      </c>
    </row>
    <row r="221">
      <c r="A221" s="36" t="n">
        <v>44417</v>
      </c>
      <c r="B221" s="25" t="n">
        <v>0.360893487722756</v>
      </c>
      <c r="C221" s="25" t="n">
        <v>0.400160137965016</v>
      </c>
      <c r="D221" s="25" t="n">
        <v>0.3739602987354082</v>
      </c>
      <c r="E221" s="25" t="n">
        <v>0.3509627402570275</v>
      </c>
      <c r="F221" s="25" t="n">
        <v>0.3707606384253727</v>
      </c>
      <c r="G221" s="25" t="n">
        <v>0.3828529012352013</v>
      </c>
      <c r="H221" s="25" t="n">
        <v>0.3269652879317607</v>
      </c>
    </row>
    <row r="222">
      <c r="A222" s="36" t="n">
        <v>44418</v>
      </c>
      <c r="B222" s="25" t="n">
        <v>0.3646802803022008</v>
      </c>
      <c r="C222" s="25" t="n">
        <v>0.4046452425270995</v>
      </c>
      <c r="D222" s="25" t="n">
        <v>0.3773586456278764</v>
      </c>
      <c r="E222" s="25" t="n">
        <v>0.3534612645189568</v>
      </c>
      <c r="F222" s="25" t="n">
        <v>0.3749589086127548</v>
      </c>
      <c r="G222" s="25" t="n">
        <v>0.3864473801232802</v>
      </c>
      <c r="H222" s="25" t="n">
        <v>0.3290639381985536</v>
      </c>
    </row>
    <row r="223">
      <c r="A223" s="36" t="n">
        <v>44419</v>
      </c>
      <c r="B223" s="25" t="n">
        <v>0.3661689431472915</v>
      </c>
      <c r="C223" s="25" t="n">
        <v>0.4046341663701311</v>
      </c>
      <c r="D223" s="25" t="n">
        <v>0.3780572743491318</v>
      </c>
      <c r="E223" s="25" t="n">
        <v>0.3552598507702897</v>
      </c>
      <c r="F223" s="25" t="n">
        <v>0.3754575681515445</v>
      </c>
      <c r="G223" s="25" t="n">
        <v>0.3865459408981916</v>
      </c>
      <c r="H223" s="25" t="n">
        <v>0.3302626757934891</v>
      </c>
    </row>
    <row r="224">
      <c r="A224" s="36" t="n">
        <v>44420</v>
      </c>
      <c r="B224" s="25" t="n">
        <v>0.3698554770898342</v>
      </c>
      <c r="C224" s="25" t="n">
        <v>0.4066212295396069</v>
      </c>
      <c r="D224" s="25" t="n">
        <v>0.3839552928768568</v>
      </c>
      <c r="E224" s="25" t="n">
        <v>0.3567584596314128</v>
      </c>
      <c r="F224" s="25" t="n">
        <v>0.378955875000856</v>
      </c>
      <c r="G224" s="25" t="n">
        <v>0.3909394412062502</v>
      </c>
      <c r="H224" s="25" t="n">
        <v>0.3379606484176499</v>
      </c>
    </row>
    <row r="225">
      <c r="A225" s="36" t="n">
        <v>44421</v>
      </c>
      <c r="B225" s="25" t="n">
        <v>0.3611536882441495</v>
      </c>
      <c r="C225" s="25" t="n">
        <v>0.4056110578896948</v>
      </c>
      <c r="D225" s="25" t="n">
        <v>0.3774547571352749</v>
      </c>
      <c r="E225" s="25" t="n">
        <v>0.3511579091547246</v>
      </c>
      <c r="F225" s="25" t="n">
        <v>0.3739551766055438</v>
      </c>
      <c r="G225" s="25" t="n">
        <v>0.387542116335152</v>
      </c>
      <c r="H225" s="25" t="n">
        <v>0.3324601503244474</v>
      </c>
    </row>
    <row r="226">
      <c r="A226" s="36" t="n">
        <v>44425</v>
      </c>
      <c r="B226" s="25" t="n">
        <v>0.3605147924135855</v>
      </c>
      <c r="C226" s="25" t="n">
        <v>0.3976750868934563</v>
      </c>
      <c r="D226" s="25" t="n">
        <v>0.3774495872126668</v>
      </c>
      <c r="E226" s="25" t="n">
        <v>0.352652899099093</v>
      </c>
      <c r="F226" s="25" t="n">
        <v>0.3639513900540681</v>
      </c>
      <c r="G226" s="25" t="n">
        <v>0.3835415889912399</v>
      </c>
      <c r="H226" s="25" t="n">
        <v>0.3269563311749458</v>
      </c>
    </row>
    <row r="227">
      <c r="A227" s="36" t="n">
        <v>44426</v>
      </c>
      <c r="B227" s="25" t="n">
        <v>0.3596059113300493</v>
      </c>
      <c r="C227" s="25" t="n">
        <v>0.3995621237000547</v>
      </c>
      <c r="D227" s="25" t="n">
        <v>0.376448431721682</v>
      </c>
      <c r="E227" s="25" t="n">
        <v>0.3510519106971648</v>
      </c>
      <c r="F227" s="25" t="n">
        <v>0.366549787700315</v>
      </c>
      <c r="G227" s="25" t="n">
        <v>0.3820420728578758</v>
      </c>
      <c r="H227" s="25" t="n">
        <v>0.3317545541706616</v>
      </c>
    </row>
    <row r="228">
      <c r="A228" s="36" t="n">
        <v>44427</v>
      </c>
      <c r="B228" s="25" t="n">
        <v>0.3610943871267891</v>
      </c>
      <c r="C228" s="25" t="n">
        <v>0.3995511890752853</v>
      </c>
      <c r="D228" s="25" t="n">
        <v>0.3724477042607031</v>
      </c>
      <c r="E228" s="25" t="n">
        <v>0.3525504980465071</v>
      </c>
      <c r="F228" s="25" t="n">
        <v>0.3669484764125586</v>
      </c>
      <c r="G228" s="25" t="n">
        <v>0.3786448481448669</v>
      </c>
      <c r="H228" s="25" t="n">
        <v>0.3319533901061837</v>
      </c>
    </row>
    <row r="229">
      <c r="A229" s="36" t="n">
        <v>44428</v>
      </c>
      <c r="B229" s="25" t="n">
        <v>0.3616838158830935</v>
      </c>
      <c r="C229" s="25" t="n">
        <v>0.3895517486727601</v>
      </c>
      <c r="D229" s="25" t="n">
        <v>0.3719465008457688</v>
      </c>
      <c r="E229" s="25" t="n">
        <v>0.3526492764739318</v>
      </c>
      <c r="F229" s="25" t="n">
        <v>0.3659473637353531</v>
      </c>
      <c r="G229" s="25" t="n">
        <v>0.3794425897548162</v>
      </c>
      <c r="H229" s="25" t="n">
        <v>0.3269529725176516</v>
      </c>
    </row>
    <row r="230">
      <c r="A230" s="36" t="n">
        <v>44431</v>
      </c>
      <c r="B230" s="25" t="n">
        <v>0.3640511697906691</v>
      </c>
      <c r="C230" s="25" t="n">
        <v>0.399507456560405</v>
      </c>
      <c r="D230" s="25" t="n">
        <v>0.3739423718947422</v>
      </c>
      <c r="E230" s="25" t="n">
        <v>0.3525456693317811</v>
      </c>
      <c r="F230" s="25" t="n">
        <v>0.369942988238114</v>
      </c>
      <c r="G230" s="25" t="n">
        <v>0.3870294675993227</v>
      </c>
      <c r="H230" s="25" t="n">
        <v>0.3289493057576743</v>
      </c>
    </row>
    <row r="231">
      <c r="A231" s="36" t="n">
        <v>44432</v>
      </c>
      <c r="B231" s="25" t="n">
        <v>0.3665380616209709</v>
      </c>
      <c r="C231" s="25" t="n">
        <v>0.4094839380506758</v>
      </c>
      <c r="D231" s="25" t="n">
        <v>0.3774405401888744</v>
      </c>
      <c r="E231" s="25" t="n">
        <v>0.3538442574115037</v>
      </c>
      <c r="F231" s="25" t="n">
        <v>0.371441485245475</v>
      </c>
      <c r="G231" s="25" t="n">
        <v>0.3954179151445498</v>
      </c>
      <c r="H231" s="25" t="n">
        <v>0.3379467618114954</v>
      </c>
    </row>
    <row r="232">
      <c r="A232" s="36" t="n">
        <v>44433</v>
      </c>
      <c r="B232" s="25" t="n">
        <v>0.3665280323966399</v>
      </c>
      <c r="C232" s="25" t="n">
        <v>0.4134675896790434</v>
      </c>
      <c r="D232" s="25" t="n">
        <v>0.3766393765387078</v>
      </c>
      <c r="E232" s="25" t="n">
        <v>0.3536430779977195</v>
      </c>
      <c r="F232" s="25" t="n">
        <v>0.3714402133903105</v>
      </c>
      <c r="G232" s="25" t="n">
        <v>0.3944177837370065</v>
      </c>
      <c r="H232" s="25" t="n">
        <v>0.3349460874448291</v>
      </c>
    </row>
    <row r="233">
      <c r="A233" s="36" t="n">
        <v>44434</v>
      </c>
      <c r="B233" s="25" t="n">
        <v>0.365319579730765</v>
      </c>
      <c r="C233" s="25" t="n">
        <v>0.4164523366531684</v>
      </c>
      <c r="D233" s="25" t="n">
        <v>0.3749383662959513</v>
      </c>
      <c r="E233" s="25" t="n">
        <v>0.3541417849120693</v>
      </c>
      <c r="F233" s="25" t="n">
        <v>0.3709390237221279</v>
      </c>
      <c r="G233" s="25" t="n">
        <v>0.3925187612447752</v>
      </c>
      <c r="H233" s="25" t="n">
        <v>0.3399441187749959</v>
      </c>
    </row>
    <row r="234">
      <c r="A234" s="36" t="n">
        <v>44435</v>
      </c>
      <c r="B234" s="25" t="n">
        <v>0.3665079755944075</v>
      </c>
      <c r="C234" s="25" t="n">
        <v>0.4204355796328217</v>
      </c>
      <c r="D234" s="25" t="n">
        <v>0.377936579135693</v>
      </c>
      <c r="E234" s="25" t="n">
        <v>0.3562402199630884</v>
      </c>
      <c r="F234" s="25" t="n">
        <v>0.3737372838119631</v>
      </c>
      <c r="G234" s="25" t="n">
        <v>0.3955137348260187</v>
      </c>
      <c r="H234" s="25" t="n">
        <v>0.341242736664053</v>
      </c>
    </row>
    <row r="235">
      <c r="A235" s="36" t="n">
        <v>44438</v>
      </c>
      <c r="B235" s="25" t="n">
        <v>0.37206992777413</v>
      </c>
      <c r="C235" s="25" t="n">
        <v>0.4243953819216459</v>
      </c>
      <c r="D235" s="25" t="n">
        <v>0.3839316286140824</v>
      </c>
      <c r="E235" s="25" t="n">
        <v>0.3600358840206538</v>
      </c>
      <c r="F235" s="25" t="n">
        <v>0.3819319847150508</v>
      </c>
      <c r="G235" s="25" t="n">
        <v>0.4015022472140702</v>
      </c>
      <c r="H235" s="25" t="n">
        <v>0.3499376823305439</v>
      </c>
    </row>
    <row r="236">
      <c r="A236" s="36" t="n">
        <v>44439</v>
      </c>
      <c r="B236" s="25" t="n">
        <v>0.3751552540147183</v>
      </c>
      <c r="C236" s="25" t="n">
        <v>0.4203895713074167</v>
      </c>
      <c r="D236" s="25" t="n">
        <v>0.3844302232813908</v>
      </c>
      <c r="E236" s="25" t="n">
        <v>0.3630341068230766</v>
      </c>
      <c r="F236" s="25" t="n">
        <v>0.383930314018346</v>
      </c>
      <c r="G236" s="25" t="n">
        <v>0.4026993839849776</v>
      </c>
      <c r="H236" s="25" t="n">
        <v>0.349936484131305</v>
      </c>
    </row>
    <row r="237">
      <c r="A237" s="36" t="n">
        <v>44440</v>
      </c>
      <c r="B237" s="25" t="n">
        <v>0.3788395250861739</v>
      </c>
      <c r="C237" s="25" t="n">
        <v>0.424372161733326</v>
      </c>
      <c r="D237" s="25" t="n">
        <v>0.3869284447396715</v>
      </c>
      <c r="E237" s="25" t="n">
        <v>0.3687318098707774</v>
      </c>
      <c r="F237" s="25" t="n">
        <v>0.3859286296369849</v>
      </c>
      <c r="G237" s="25" t="n">
        <v>0.4062935245105416</v>
      </c>
      <c r="H237" s="25" t="n">
        <v>0.3559341765563903</v>
      </c>
    </row>
    <row r="238">
      <c r="A238" s="36" t="n">
        <v>44441</v>
      </c>
      <c r="B238" s="25" t="n">
        <v>0.3834222404595815</v>
      </c>
      <c r="C238" s="25" t="n">
        <v>0.4333470113527561</v>
      </c>
      <c r="D238" s="25" t="n">
        <v>0.3939258016469501</v>
      </c>
      <c r="E238" s="25" t="n">
        <v>0.3745294550683946</v>
      </c>
      <c r="F238" s="25" t="n">
        <v>0.3919261782883361</v>
      </c>
      <c r="G238" s="25" t="n">
        <v>0.4089887640449438</v>
      </c>
      <c r="H238" s="25" t="n">
        <v>0.3579325811918987</v>
      </c>
    </row>
    <row r="239">
      <c r="A239" s="36" t="n">
        <v>44442</v>
      </c>
      <c r="B239" s="25" t="n">
        <v>0.3844102199365357</v>
      </c>
      <c r="C239" s="25" t="n">
        <v>0.421852773826458</v>
      </c>
      <c r="D239" s="25" t="n">
        <v>0.3924247404607336</v>
      </c>
      <c r="E239" s="25" t="n">
        <v>0.3761278658887336</v>
      </c>
      <c r="F239" s="25" t="n">
        <v>0.3924247404607336</v>
      </c>
      <c r="G239" s="25" t="n">
        <v>0.408687740708564</v>
      </c>
      <c r="H239" s="25" t="n">
        <v>0.3569315473744761</v>
      </c>
    </row>
    <row r="240">
      <c r="A240" s="36" t="n">
        <v>44445</v>
      </c>
      <c r="B240" s="25" t="n">
        <v>0.3853770617358243</v>
      </c>
      <c r="C240" s="25" t="n">
        <v>0.4268100878032769</v>
      </c>
      <c r="D240" s="25" t="n">
        <v>0.3959200024652553</v>
      </c>
      <c r="E240" s="25" t="n">
        <v>0.3775237195224252</v>
      </c>
      <c r="F240" s="25" t="n">
        <v>0.3934205075001969</v>
      </c>
      <c r="G240" s="25" t="n">
        <v>0.4133776152738491</v>
      </c>
      <c r="H240" s="25" t="n">
        <v>0.3594273759754023</v>
      </c>
    </row>
    <row r="241">
      <c r="A241" s="36" t="n">
        <v>44446</v>
      </c>
      <c r="B241" s="25" t="n">
        <v>0.3893599562363239</v>
      </c>
      <c r="C241" s="25" t="n">
        <v>0.4292943107221007</v>
      </c>
      <c r="D241" s="25" t="n">
        <v>0.3969184414161474</v>
      </c>
      <c r="E241" s="25" t="n">
        <v>0.3784222420050675</v>
      </c>
      <c r="F241" s="25" t="n">
        <v>0.3939190577278641</v>
      </c>
      <c r="G241" s="25" t="n">
        <v>0.4116783527721722</v>
      </c>
      <c r="H241" s="25" t="n">
        <v>0.3634253235636513</v>
      </c>
    </row>
    <row r="242">
      <c r="A242" s="36" t="n">
        <v>44447</v>
      </c>
      <c r="B242" s="25" t="n">
        <v>0.3873526435272558</v>
      </c>
      <c r="C242" s="25" t="n">
        <v>0.4242909110801127</v>
      </c>
      <c r="D242" s="25" t="n">
        <v>0.3914182311229503</v>
      </c>
      <c r="E242" s="25" t="n">
        <v>0.3778210716254481</v>
      </c>
      <c r="F242" s="25" t="n">
        <v>0.3904184399834281</v>
      </c>
      <c r="G242" s="25" t="n">
        <v>0.4029879844444216</v>
      </c>
      <c r="H242" s="25" t="n">
        <v>0.3586250817466214</v>
      </c>
    </row>
    <row r="243">
      <c r="A243" s="36" t="n">
        <v>44448</v>
      </c>
      <c r="B243" s="25" t="n">
        <v>0.3863437448717248</v>
      </c>
      <c r="C243" s="25" t="n">
        <v>0.416792024506318</v>
      </c>
      <c r="D243" s="25" t="n">
        <v>0.3889174216433497</v>
      </c>
      <c r="E243" s="25" t="n">
        <v>0.3773198841341907</v>
      </c>
      <c r="F243" s="25" t="n">
        <v>0.3879176339270429</v>
      </c>
      <c r="G243" s="25" t="n">
        <v>0.4004897869837057</v>
      </c>
      <c r="H243" s="25" t="n">
        <v>0.3559244270052249</v>
      </c>
    </row>
    <row r="244">
      <c r="A244" s="36" t="n">
        <v>44449</v>
      </c>
      <c r="B244" s="25" t="n">
        <v>0.3883297322429778</v>
      </c>
      <c r="C244" s="25" t="n">
        <v>0.4167806252222192</v>
      </c>
      <c r="D244" s="25" t="n">
        <v>0.3859167371423289</v>
      </c>
      <c r="E244" s="25" t="n">
        <v>0.3767187216456723</v>
      </c>
      <c r="F244" s="25" t="n">
        <v>0.3894159821682309</v>
      </c>
      <c r="G244" s="25" t="n">
        <v>0.3944960717986955</v>
      </c>
      <c r="H244" s="25" t="n">
        <v>0.3450255595539318</v>
      </c>
    </row>
    <row r="245">
      <c r="A245" s="36" t="n">
        <v>44452</v>
      </c>
      <c r="B245" s="25" t="n">
        <v>0.395285237652464</v>
      </c>
      <c r="C245" s="25" t="n">
        <v>0.4332166493463873</v>
      </c>
      <c r="D245" s="25" t="n">
        <v>0.3964104003889531</v>
      </c>
      <c r="E245" s="25" t="n">
        <v>0.3842131573000623</v>
      </c>
      <c r="F245" s="25" t="n">
        <v>0.3949107393534338</v>
      </c>
      <c r="G245" s="25" t="n">
        <v>0.4151654034530878</v>
      </c>
      <c r="H245" s="25" t="n">
        <v>0.3560195298322982</v>
      </c>
    </row>
    <row r="246">
      <c r="A246" s="36" t="n">
        <v>44453</v>
      </c>
      <c r="B246" s="25" t="n">
        <v>0.3927790083955479</v>
      </c>
      <c r="C246" s="25" t="n">
        <v>0.4292121311565072</v>
      </c>
      <c r="D246" s="25" t="n">
        <v>0.3939096166290611</v>
      </c>
      <c r="E246" s="25" t="n">
        <v>0.3826122088424916</v>
      </c>
      <c r="F246" s="25" t="n">
        <v>0.3939096166290611</v>
      </c>
      <c r="G246" s="25" t="n">
        <v>0.4104700438132959</v>
      </c>
      <c r="H246" s="25" t="n">
        <v>0.3561182879270852</v>
      </c>
    </row>
    <row r="247">
      <c r="A247" s="36" t="n">
        <v>44454</v>
      </c>
      <c r="B247" s="25" t="n">
        <v>0.3972598993655655</v>
      </c>
      <c r="C247" s="25" t="n">
        <v>0.4341910960402538</v>
      </c>
      <c r="D247" s="25" t="n">
        <v>0.3944081515263569</v>
      </c>
      <c r="E247" s="25" t="n">
        <v>0.3815111549365216</v>
      </c>
      <c r="F247" s="25" t="n">
        <v>0.3929085007600969</v>
      </c>
      <c r="G247" s="25" t="n">
        <v>0.4135646320858614</v>
      </c>
      <c r="H247" s="25" t="n">
        <v>0.3559171151923525</v>
      </c>
    </row>
    <row r="248">
      <c r="A248" s="36" t="n">
        <v>44455</v>
      </c>
      <c r="B248" s="25" t="n">
        <v>0.4012414886926085</v>
      </c>
      <c r="C248" s="25" t="n">
        <v>0.4291886570592578</v>
      </c>
      <c r="D248" s="25" t="n">
        <v>0.3949066830098367</v>
      </c>
      <c r="E248" s="25" t="n">
        <v>0.381709801451027</v>
      </c>
      <c r="F248" s="25" t="n">
        <v>0.3924072736236985</v>
      </c>
      <c r="G248" s="25" t="n">
        <v>0.4123647731198205</v>
      </c>
      <c r="H248" s="25" t="n">
        <v>0.3579154240949912</v>
      </c>
    </row>
    <row r="249">
      <c r="A249" s="36" t="n">
        <v>44456</v>
      </c>
      <c r="B249" s="25" t="n">
        <v>0.4002324309543342</v>
      </c>
      <c r="C249" s="25" t="n">
        <v>0.4341673502871206</v>
      </c>
      <c r="D249" s="25" t="n">
        <v>0.3919060499195399</v>
      </c>
      <c r="E249" s="25" t="n">
        <v>0.3809086862738385</v>
      </c>
      <c r="F249" s="25" t="n">
        <v>0.3914061697538261</v>
      </c>
      <c r="G249" s="25" t="n">
        <v>0.4079690813325125</v>
      </c>
      <c r="H249" s="25" t="n">
        <v>0.3579141986510083</v>
      </c>
    </row>
    <row r="250">
      <c r="A250" s="36" t="n">
        <v>44459</v>
      </c>
      <c r="B250" s="25" t="n">
        <v>0.3992015968063872</v>
      </c>
      <c r="C250" s="25" t="n">
        <v>0.4341317365269461</v>
      </c>
      <c r="D250" s="25" t="n">
        <v>0.3861034741314671</v>
      </c>
      <c r="E250" s="25" t="n">
        <v>0.3787053236690828</v>
      </c>
      <c r="F250" s="25" t="n">
        <v>0.3849037740564859</v>
      </c>
      <c r="G250" s="25" t="n">
        <v>0.3998755057578587</v>
      </c>
      <c r="H250" s="25" t="n">
        <v>0.3514121469632592</v>
      </c>
    </row>
    <row r="251">
      <c r="A251" s="36" t="n">
        <v>44460</v>
      </c>
      <c r="B251" s="25" t="n">
        <v>0.3971947284956526</v>
      </c>
      <c r="C251" s="25" t="n">
        <v>0.4111664023623339</v>
      </c>
      <c r="D251" s="25" t="n">
        <v>0.3873018481617673</v>
      </c>
      <c r="E251" s="25" t="n">
        <v>0.3775043310941747</v>
      </c>
      <c r="F251" s="25" t="n">
        <v>0.3849024562268466</v>
      </c>
      <c r="G251" s="25" t="n">
        <v>0.3958793914851702</v>
      </c>
      <c r="H251" s="25" t="n">
        <v>0.3499113238425878</v>
      </c>
    </row>
    <row r="252">
      <c r="A252" s="36" t="n">
        <v>44461</v>
      </c>
      <c r="B252" s="25" t="n">
        <v>0.395187969924812</v>
      </c>
      <c r="C252" s="25" t="n">
        <v>0.414149008885851</v>
      </c>
      <c r="D252" s="25" t="n">
        <v>0.3835014979029359</v>
      </c>
      <c r="E252" s="25" t="n">
        <v>0.3768032183514508</v>
      </c>
      <c r="F252" s="25" t="n">
        <v>0.3819019087563126</v>
      </c>
      <c r="G252" s="25" t="n">
        <v>0.3934811977358619</v>
      </c>
      <c r="H252" s="25" t="n">
        <v>0.3424120516990499</v>
      </c>
    </row>
    <row r="253">
      <c r="A253" s="36" t="n">
        <v>44462</v>
      </c>
      <c r="B253" s="25" t="n">
        <v>0.3921833989501312</v>
      </c>
      <c r="C253" s="25" t="n">
        <v>0.4132395559930008</v>
      </c>
      <c r="D253" s="25" t="n">
        <v>0.3799011216258782</v>
      </c>
      <c r="E253" s="25" t="n">
        <v>0.3763020583683699</v>
      </c>
      <c r="F253" s="25" t="n">
        <v>0.3789013818321258</v>
      </c>
      <c r="G253" s="25" t="n">
        <v>0.3904838124944423</v>
      </c>
      <c r="H253" s="25" t="n">
        <v>0.3454100987414234</v>
      </c>
    </row>
    <row r="254">
      <c r="A254" s="36" t="n">
        <v>44463</v>
      </c>
      <c r="B254" s="25" t="n">
        <v>0.3847882549142904</v>
      </c>
      <c r="C254" s="25" t="n">
        <v>0.4081389944500642</v>
      </c>
      <c r="D254" s="25" t="n">
        <v>0.3734015345268543</v>
      </c>
      <c r="E254" s="25" t="n">
        <v>0.3735015081639431</v>
      </c>
      <c r="F254" s="25" t="n">
        <v>0.3793999527521852</v>
      </c>
      <c r="G254" s="25" t="n">
        <v>0.3854890949324012</v>
      </c>
      <c r="H254" s="25" t="n">
        <v>0.3443092061339989</v>
      </c>
    </row>
    <row r="255">
      <c r="A255" s="36" t="n">
        <v>44466</v>
      </c>
      <c r="B255" s="25" t="n">
        <v>0.3836591033351558</v>
      </c>
      <c r="C255" s="25" t="n">
        <v>0.4061098961180973</v>
      </c>
      <c r="D255" s="25" t="n">
        <v>0.3778964667214462</v>
      </c>
      <c r="E255" s="25" t="n">
        <v>0.3718981101068201</v>
      </c>
      <c r="F255" s="25" t="n">
        <v>0.3738975623116954</v>
      </c>
      <c r="G255" s="25" t="n">
        <v>0.390478470535928</v>
      </c>
      <c r="H255" s="25" t="n">
        <v>0.3409066009312517</v>
      </c>
    </row>
    <row r="256">
      <c r="A256" s="36" t="n">
        <v>44467</v>
      </c>
      <c r="B256" s="25" t="n">
        <v>0.3836486154014379</v>
      </c>
      <c r="C256" s="25" t="n">
        <v>0.4110877231349608</v>
      </c>
      <c r="D256" s="25" t="n">
        <v>0.3788948955940304</v>
      </c>
      <c r="E256" s="25" t="n">
        <v>0.3710970586926229</v>
      </c>
      <c r="F256" s="25" t="n">
        <v>0.3788948955940304</v>
      </c>
      <c r="G256" s="25" t="n">
        <v>0.3949711174420553</v>
      </c>
      <c r="H256" s="25" t="n">
        <v>0.3449043244853311</v>
      </c>
    </row>
    <row r="257">
      <c r="A257" s="36" t="n">
        <v>44468</v>
      </c>
      <c r="B257" s="25" t="n">
        <v>0.3881280411131157</v>
      </c>
      <c r="C257" s="25" t="n">
        <v>0.416564157235799</v>
      </c>
      <c r="D257" s="25" t="n">
        <v>0.3818927561438227</v>
      </c>
      <c r="E257" s="25" t="n">
        <v>0.3721954793516889</v>
      </c>
      <c r="F257" s="25" t="n">
        <v>0.3778938791161386</v>
      </c>
      <c r="G257" s="25" t="n">
        <v>0.4009617226189499</v>
      </c>
      <c r="H257" s="25" t="n">
        <v>0.3474024417800481</v>
      </c>
    </row>
    <row r="258">
      <c r="A258" s="36" t="n">
        <v>44469</v>
      </c>
      <c r="B258" s="25" t="n">
        <v>0.3891151627805265</v>
      </c>
      <c r="C258" s="25" t="n">
        <v>0.4130607112593281</v>
      </c>
      <c r="D258" s="25" t="n">
        <v>0.3798920169951692</v>
      </c>
      <c r="E258" s="25" t="n">
        <v>0.3710945176542284</v>
      </c>
      <c r="F258" s="25" t="n">
        <v>0.3748934378241801</v>
      </c>
      <c r="G258" s="25" t="n">
        <v>0.3994623674301369</v>
      </c>
      <c r="H258" s="25" t="n">
        <v>0.3449019627982457</v>
      </c>
    </row>
    <row r="259">
      <c r="A259" s="36" t="n">
        <v>44470</v>
      </c>
      <c r="B259" s="25" t="n">
        <v>0.3811228952547562</v>
      </c>
      <c r="C259" s="25" t="n">
        <v>0.4198338071287995</v>
      </c>
      <c r="D259" s="25" t="n">
        <v>0.3798907163692636</v>
      </c>
      <c r="E259" s="25" t="n">
        <v>0.3696936497719834</v>
      </c>
      <c r="F259" s="25" t="n">
        <v>0.3708933046657811</v>
      </c>
      <c r="G259" s="25" t="n">
        <v>0.3993611360014228</v>
      </c>
      <c r="H259" s="25" t="n">
        <v>0.3439010695553334</v>
      </c>
    </row>
    <row r="260">
      <c r="A260" s="36" t="n">
        <v>44473</v>
      </c>
      <c r="B260" s="25" t="n">
        <v>0.3805928335201028</v>
      </c>
      <c r="C260" s="25" t="n">
        <v>0.4140131740782245</v>
      </c>
      <c r="D260" s="25" t="n">
        <v>0.3778874102579026</v>
      </c>
      <c r="E260" s="25" t="n">
        <v>0.368590180322986</v>
      </c>
      <c r="F260" s="25" t="n">
        <v>0.3708894952531266</v>
      </c>
      <c r="G260" s="25" t="n">
        <v>0.3968604329045784</v>
      </c>
      <c r="H260" s="25" t="n">
        <v>0.3435976267345003</v>
      </c>
    </row>
    <row r="261">
      <c r="A261" s="36" t="n">
        <v>44474</v>
      </c>
      <c r="B261" s="25" t="n">
        <v>0.3840740133377064</v>
      </c>
      <c r="C261" s="25" t="n">
        <v>0.4159970482125288</v>
      </c>
      <c r="D261" s="25" t="n">
        <v>0.3798855139546986</v>
      </c>
      <c r="E261" s="25" t="n">
        <v>0.3667894607104708</v>
      </c>
      <c r="F261" s="25" t="n">
        <v>0.3736873818849114</v>
      </c>
      <c r="G261" s="25" t="n">
        <v>0.3994555366315775</v>
      </c>
      <c r="H261" s="25" t="n">
        <v>0.3443962093615623</v>
      </c>
    </row>
    <row r="262">
      <c r="A262" s="36" t="n">
        <v>44475</v>
      </c>
      <c r="B262" s="25" t="n">
        <v>0.379075678482604</v>
      </c>
      <c r="C262" s="25" t="n">
        <v>0.4159856787559102</v>
      </c>
      <c r="D262" s="25" t="n">
        <v>0.3733861939340407</v>
      </c>
      <c r="E262" s="25" t="n">
        <v>0.3636891495400375</v>
      </c>
      <c r="F262" s="25" t="n">
        <v>0.3688875650914618</v>
      </c>
      <c r="G262" s="25" t="n">
        <v>0.3944609933686504</v>
      </c>
      <c r="H262" s="25" t="n">
        <v>0.3308991437541298</v>
      </c>
    </row>
    <row r="263">
      <c r="A263" s="36" t="n">
        <v>44476</v>
      </c>
      <c r="B263" s="25" t="n">
        <v>0.3735788466794207</v>
      </c>
      <c r="C263" s="25" t="n">
        <v>0.4089915277398196</v>
      </c>
      <c r="D263" s="25" t="n">
        <v>0.3723852237324112</v>
      </c>
      <c r="E263" s="25" t="n">
        <v>0.3637878736006026</v>
      </c>
      <c r="F263" s="25" t="n">
        <v>0.3678866102913485</v>
      </c>
      <c r="G263" s="25" t="n">
        <v>0.3909644322845417</v>
      </c>
      <c r="H263" s="25" t="n">
        <v>0.3398952377691807</v>
      </c>
    </row>
    <row r="264">
      <c r="A264" s="36" t="n">
        <v>44481</v>
      </c>
      <c r="B264" s="25" t="n">
        <v>0.3755226123787402</v>
      </c>
      <c r="C264" s="25" t="n">
        <v>0.4039486268615931</v>
      </c>
      <c r="D264" s="25" t="n">
        <v>0.3838751091254557</v>
      </c>
      <c r="E264" s="25" t="n">
        <v>0.3615823619028056</v>
      </c>
      <c r="F264" s="25" t="n">
        <v>0.3687800201989079</v>
      </c>
      <c r="G264" s="25" t="n">
        <v>0.3868634257280142</v>
      </c>
      <c r="H264" s="25" t="n">
        <v>0.3358907204847738</v>
      </c>
    </row>
    <row r="265">
      <c r="A265" s="36" t="n">
        <v>44482</v>
      </c>
      <c r="B265" s="25" t="n">
        <v>0.3690294021204503</v>
      </c>
      <c r="C265" s="25" t="n">
        <v>0.4045360148650126</v>
      </c>
      <c r="D265" s="25" t="n">
        <v>0.3748767528483786</v>
      </c>
      <c r="E265" s="25" t="n">
        <v>0.3609813212094654</v>
      </c>
      <c r="F265" s="25" t="n">
        <v>0.3658797107800175</v>
      </c>
      <c r="G265" s="25" t="n">
        <v>0.3805708501193546</v>
      </c>
      <c r="H265" s="25" t="n">
        <v>0.3378889132340052</v>
      </c>
    </row>
    <row r="266">
      <c r="A266" s="36" t="n">
        <v>44483</v>
      </c>
      <c r="B266" s="25" t="n">
        <v>0.3730087165614668</v>
      </c>
      <c r="C266" s="25" t="n">
        <v>0.4039265513566686</v>
      </c>
      <c r="D266" s="25" t="n">
        <v>0.3698771298575473</v>
      </c>
      <c r="E266" s="25" t="n">
        <v>0.3605802182151819</v>
      </c>
      <c r="F266" s="25" t="n">
        <v>0.3708767977760812</v>
      </c>
      <c r="G266" s="25" t="n">
        <v>0.3814682959026289</v>
      </c>
      <c r="H266" s="25" t="n">
        <v>0.3248920735235213</v>
      </c>
    </row>
    <row r="267">
      <c r="A267" s="36" t="n">
        <v>44484</v>
      </c>
      <c r="B267" s="25" t="n">
        <v>0.3739958467675829</v>
      </c>
      <c r="C267" s="25" t="n">
        <v>0.4050125689928412</v>
      </c>
      <c r="D267" s="25" t="n">
        <v>0.3698758635800314</v>
      </c>
      <c r="E267" s="25" t="n">
        <v>0.3595793192695602</v>
      </c>
      <c r="F267" s="25" t="n">
        <v>0.3718751925723559</v>
      </c>
      <c r="G267" s="25" t="n">
        <v>0.3769732702251649</v>
      </c>
      <c r="H267" s="25" t="n">
        <v>0.3343877739662716</v>
      </c>
    </row>
    <row r="268">
      <c r="A268" s="36" t="n">
        <v>44487</v>
      </c>
      <c r="B268" s="25" t="n">
        <v>0.3691784377476026</v>
      </c>
      <c r="C268" s="25" t="n">
        <v>0.3939100024589492</v>
      </c>
      <c r="D268" s="25" t="n">
        <v>0.3728710274870678</v>
      </c>
      <c r="E268" s="25" t="n">
        <v>0.358376041163844</v>
      </c>
      <c r="F268" s="25" t="n">
        <v>0.3638741394243772</v>
      </c>
      <c r="G268" s="25" t="n">
        <v>0.3734743221014257</v>
      </c>
      <c r="H268" s="25" t="n">
        <v>0.3308855498611782</v>
      </c>
    </row>
    <row r="269">
      <c r="A269" s="44" t="inlineStr">
        <is>
          <t>(en blanco)</t>
        </is>
      </c>
      <c r="B269" s="25" t="n"/>
      <c r="C269" s="25" t="n"/>
      <c r="D269" s="25" t="n"/>
      <c r="E269" s="25" t="n"/>
      <c r="F269" s="25" t="n"/>
      <c r="G269" s="25" t="n"/>
      <c r="H269" s="25" t="n"/>
    </row>
    <row r="270">
      <c r="A270" s="44" t="inlineStr">
        <is>
          <t>Total general</t>
        </is>
      </c>
      <c r="B270" t="n">
        <v>105.4406225243811</v>
      </c>
      <c r="C270" t="n">
        <v>112.9464267128183</v>
      </c>
      <c r="D270" t="n">
        <v>98.76364130189656</v>
      </c>
      <c r="E270" t="n">
        <v>100.2095697448062</v>
      </c>
      <c r="F270" t="n">
        <v>94.57885310131726</v>
      </c>
      <c r="G270" t="n">
        <v>105.1357919134648</v>
      </c>
      <c r="H270" t="n">
        <v>91.24794891728281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Hoja8">
    <outlinePr summaryBelow="1" summaryRight="1"/>
    <pageSetUpPr/>
  </sheetPr>
  <dimension ref="A1:Y279"/>
  <sheetViews>
    <sheetView tabSelected="1" zoomScaleNormal="100" workbookViewId="0">
      <pane xSplit="1" topLeftCell="B1" activePane="topRight" state="frozen"/>
      <selection pane="topRight" activeCell="B7" sqref="B7"/>
    </sheetView>
  </sheetViews>
  <sheetFormatPr baseColWidth="10" defaultRowHeight="15"/>
  <cols>
    <col width="14.7109375" bestFit="1" customWidth="1" style="76" min="1" max="1"/>
    <col width="11.5703125" bestFit="1" customWidth="1" style="76" min="3" max="3"/>
    <col width="8.28515625" bestFit="1" customWidth="1" style="76" min="4" max="4"/>
    <col width="11.5703125" bestFit="1" customWidth="1" style="76" min="5" max="5"/>
    <col width="11.5703125" bestFit="1" customWidth="1" style="76" min="7" max="7"/>
    <col width="11.85546875" bestFit="1" customWidth="1" style="76" min="13" max="13"/>
    <col width="7.85546875" bestFit="1" customWidth="1" style="76" min="16" max="16"/>
    <col width="9.28515625" bestFit="1" customWidth="1" style="76" min="17" max="17"/>
    <col width="7.85546875" bestFit="1" customWidth="1" style="76" min="18" max="19"/>
    <col width="9.140625" bestFit="1" customWidth="1" style="76" min="20" max="20"/>
  </cols>
  <sheetData>
    <row r="1" ht="19.5" customHeight="1" s="76" thickBot="1">
      <c r="A1" s="33" t="inlineStr">
        <is>
          <t>Fecha</t>
        </is>
      </c>
      <c r="B1" s="33" t="inlineStr">
        <is>
          <t>AL29D</t>
        </is>
      </c>
      <c r="C1" s="34" t="inlineStr">
        <is>
          <t>P29</t>
        </is>
      </c>
      <c r="D1" s="33" t="inlineStr">
        <is>
          <t>GD29d</t>
        </is>
      </c>
      <c r="E1" s="37" t="inlineStr">
        <is>
          <t>PG29</t>
        </is>
      </c>
      <c r="F1" s="33" t="inlineStr">
        <is>
          <t>AL30D</t>
        </is>
      </c>
      <c r="G1" s="34" t="inlineStr">
        <is>
          <t>P30</t>
        </is>
      </c>
      <c r="H1" s="33" t="inlineStr">
        <is>
          <t>GD30D</t>
        </is>
      </c>
      <c r="I1" s="34" t="inlineStr">
        <is>
          <t>PG30</t>
        </is>
      </c>
      <c r="J1" s="37" t="inlineStr">
        <is>
          <t>AL35D</t>
        </is>
      </c>
      <c r="K1" s="34" t="inlineStr">
        <is>
          <t>P35</t>
        </is>
      </c>
      <c r="L1" s="33" t="inlineStr">
        <is>
          <t>AE38D</t>
        </is>
      </c>
      <c r="M1" s="34" t="inlineStr">
        <is>
          <t>P38</t>
        </is>
      </c>
      <c r="N1" s="37" t="inlineStr">
        <is>
          <t>AL41D</t>
        </is>
      </c>
      <c r="O1" s="34" t="inlineStr">
        <is>
          <t>P41</t>
        </is>
      </c>
      <c r="P1" s="33" t="inlineStr">
        <is>
          <t>29-30</t>
        </is>
      </c>
      <c r="Q1" s="33" t="inlineStr">
        <is>
          <t>g29-29</t>
        </is>
      </c>
      <c r="R1" s="33" t="inlineStr">
        <is>
          <t>29-38</t>
        </is>
      </c>
      <c r="S1" s="37" t="inlineStr">
        <is>
          <t>29-41</t>
        </is>
      </c>
      <c r="T1" s="33" t="inlineStr">
        <is>
          <t>g29-41</t>
        </is>
      </c>
      <c r="U1" s="33" t="inlineStr">
        <is>
          <t>30-41</t>
        </is>
      </c>
      <c r="V1" s="33" t="inlineStr">
        <is>
          <t>30-35</t>
        </is>
      </c>
      <c r="W1" s="33" t="inlineStr">
        <is>
          <t>29-35</t>
        </is>
      </c>
      <c r="X1" s="33" t="inlineStr">
        <is>
          <t>g30-30</t>
        </is>
      </c>
      <c r="Y1" s="74" t="inlineStr">
        <is>
          <t>30-38</t>
        </is>
      </c>
    </row>
    <row r="2" customFormat="1" s="69">
      <c r="A2" s="65" t="n">
        <v>44496</v>
      </c>
      <c r="B2" s="66" t="n">
        <v>36.93</v>
      </c>
      <c r="C2" s="67">
        <f>myParidad('Flujo de Fondos'!$B$5,A2,B2,'Flujo de Fondos'!$B$7,'Flujo de Fondos'!$B$6)</f>
        <v/>
      </c>
      <c r="D2" s="66" t="n">
        <v>39</v>
      </c>
      <c r="E2" s="75">
        <f>myParidad('Flujo de Fondos'!$H$5,$A2,D2,'Flujo de Fondos'!$H$7,'Flujo de Fondos'!$H$6)</f>
        <v/>
      </c>
      <c r="F2" s="66" t="n">
        <v>35.87</v>
      </c>
      <c r="G2" s="67">
        <f>myParidad('Flujo de Fondos'!$N$5,$A2,F2,'Flujo de Fondos'!$N$7,'Flujo de Fondos'!$N$6)</f>
        <v/>
      </c>
      <c r="H2" s="68" t="n">
        <v>37.01</v>
      </c>
      <c r="I2" s="67">
        <f>myParidad('Flujo de Fondos'!$T$5,$A2,H2,'Flujo de Fondos'!$T$7,'Flujo de Fondos'!$T$6)</f>
        <v/>
      </c>
      <c r="J2" s="68" t="n">
        <v>33.45</v>
      </c>
      <c r="K2" s="67">
        <f>myParidad('Flujo de Fondos'!$B$34,$A2,J2,'Flujo de Fondos'!$B$36,'Flujo de Fondos'!$B$35)</f>
        <v/>
      </c>
      <c r="L2" s="66" t="n">
        <v>37.3</v>
      </c>
      <c r="M2" s="67">
        <f>myParidad('Flujo de Fondos'!$H$34,'Paridad usd'!$A2,'Paridad usd'!L2,'Flujo de Fondos'!$H$36,'Flujo de Fondos'!$H$35)</f>
        <v/>
      </c>
      <c r="N2" s="68" t="n">
        <v>36.13</v>
      </c>
      <c r="O2" s="67">
        <f>myParidad('Flujo de Fondos'!$N$34,$A2,N2,'Flujo de Fondos'!$N$36,'Flujo de Fondos'!$N$35)</f>
        <v/>
      </c>
      <c r="P2" s="67">
        <f>C2-G2</f>
        <v/>
      </c>
      <c r="Q2" s="67">
        <f>E2-C2</f>
        <v/>
      </c>
      <c r="R2" s="67">
        <f>C2-M2</f>
        <v/>
      </c>
      <c r="S2" s="67">
        <f>C2-O2</f>
        <v/>
      </c>
      <c r="T2" s="67">
        <f>E2-O2</f>
        <v/>
      </c>
      <c r="U2" s="67">
        <f>G2-O2</f>
        <v/>
      </c>
      <c r="V2" s="67">
        <f>G2-K2</f>
        <v/>
      </c>
      <c r="W2" s="67">
        <f>C2-K2</f>
        <v/>
      </c>
      <c r="X2" s="67">
        <f>I2-G2</f>
        <v/>
      </c>
      <c r="Y2" s="75">
        <f>G2-M2</f>
        <v/>
      </c>
    </row>
    <row r="3" customFormat="1" s="69">
      <c r="A3" s="65" t="n">
        <v>44495</v>
      </c>
      <c r="B3" s="66" t="n">
        <v>37.12</v>
      </c>
      <c r="C3" s="67">
        <f>myParidad('Flujo de Fondos'!$B$5,A3,B3,'Flujo de Fondos'!$B$7,'Flujo de Fondos'!$B$6)</f>
        <v/>
      </c>
      <c r="D3" s="66" t="n">
        <v>39</v>
      </c>
      <c r="E3" s="75">
        <f>myParidad('Flujo de Fondos'!$H$5,$A3,D3,'Flujo de Fondos'!$H$7,'Flujo de Fondos'!$H$6)</f>
        <v/>
      </c>
      <c r="F3" s="66" t="n">
        <v>35.88</v>
      </c>
      <c r="G3" s="67">
        <f>myParidad('Flujo de Fondos'!$N$5,$A3,F3,'Flujo de Fondos'!$N$7,'Flujo de Fondos'!$N$6)</f>
        <v/>
      </c>
      <c r="H3" s="68" t="n">
        <v>37.3</v>
      </c>
      <c r="I3" s="67">
        <f>myParidad('Flujo de Fondos'!$T$5,$A3,H3,'Flujo de Fondos'!$T$7,'Flujo de Fondos'!$T$6)</f>
        <v/>
      </c>
      <c r="J3" s="68" t="n">
        <v>33.6</v>
      </c>
      <c r="K3" s="67">
        <f>myParidad('Flujo de Fondos'!$B$34,$A3,J3,'Flujo de Fondos'!$B$36,'Flujo de Fondos'!$B$35)</f>
        <v/>
      </c>
      <c r="L3" s="66" t="n">
        <v>37.25</v>
      </c>
      <c r="M3" s="67">
        <f>myParidad('Flujo de Fondos'!$H$34,'Paridad usd'!$A3,'Paridad usd'!L3,'Flujo de Fondos'!$H$36,'Flujo de Fondos'!$H$35)</f>
        <v/>
      </c>
      <c r="N3" s="68" t="n">
        <v>35.85</v>
      </c>
      <c r="O3" s="67">
        <f>myParidad('Flujo de Fondos'!$N$34,$A3,N3,'Flujo de Fondos'!$N$36,'Flujo de Fondos'!$N$35)</f>
        <v/>
      </c>
      <c r="P3" s="67">
        <f>C3-G3</f>
        <v/>
      </c>
      <c r="Q3" s="67">
        <f>E3-C3</f>
        <v/>
      </c>
      <c r="R3" s="67">
        <f>C3-M3</f>
        <v/>
      </c>
      <c r="S3" s="67">
        <f>C3-O3</f>
        <v/>
      </c>
      <c r="T3" s="67">
        <f>E3-O3</f>
        <v/>
      </c>
      <c r="U3" s="67">
        <f>G3-O3</f>
        <v/>
      </c>
      <c r="V3" s="67">
        <f>G3-K3</f>
        <v/>
      </c>
      <c r="W3" s="67">
        <f>C3-K3</f>
        <v/>
      </c>
      <c r="X3" s="67">
        <f>I3-G3</f>
        <v/>
      </c>
      <c r="Y3" s="75">
        <f>G3-M3</f>
        <v/>
      </c>
    </row>
    <row r="4" customFormat="1" s="69">
      <c r="A4" s="65" t="n">
        <v>44494</v>
      </c>
      <c r="B4" s="66" t="n">
        <v>36.9</v>
      </c>
      <c r="C4" s="67">
        <f>myParidad('Flujo de Fondos'!$B$5,A4,B4,'Flujo de Fondos'!$B$7,'Flujo de Fondos'!$B$6)</f>
        <v/>
      </c>
      <c r="D4" s="66" t="n">
        <v>38.8</v>
      </c>
      <c r="E4" s="75">
        <f>myParidad('Flujo de Fondos'!$H$5,$A4,D4,'Flujo de Fondos'!$H$7,'Flujo de Fondos'!$H$6)</f>
        <v/>
      </c>
      <c r="F4" s="66" t="n">
        <v>35.87</v>
      </c>
      <c r="G4" s="67">
        <f>myParidad('Flujo de Fondos'!$N$5,$A4,F4,'Flujo de Fondos'!$N$7,'Flujo de Fondos'!$N$6)</f>
        <v/>
      </c>
      <c r="H4" s="68" t="n">
        <v>37.45</v>
      </c>
      <c r="I4" s="67">
        <f>myParidad('Flujo de Fondos'!$T$5,$A4,H4,'Flujo de Fondos'!$T$7,'Flujo de Fondos'!$T$6)</f>
        <v/>
      </c>
      <c r="J4" s="68" t="n">
        <v>33</v>
      </c>
      <c r="K4" s="67">
        <f>myParidad('Flujo de Fondos'!$B$34,$A4,J4,'Flujo de Fondos'!$B$36,'Flujo de Fondos'!$B$35)</f>
        <v/>
      </c>
      <c r="L4" s="66" t="n">
        <v>37</v>
      </c>
      <c r="M4" s="67">
        <f>myParidad('Flujo de Fondos'!$H$34,'Paridad usd'!$A4,'Paridad usd'!L4,'Flujo de Fondos'!$H$36,'Flujo de Fondos'!$H$35)</f>
        <v/>
      </c>
      <c r="N4" s="68" t="n">
        <v>35.72</v>
      </c>
      <c r="O4" s="67">
        <f>myParidad('Flujo de Fondos'!$N$34,$A4,N4,'Flujo de Fondos'!$N$36,'Flujo de Fondos'!$N$35)</f>
        <v/>
      </c>
      <c r="P4" s="67">
        <f>C4-G4</f>
        <v/>
      </c>
      <c r="Q4" s="67">
        <f>E4-C4</f>
        <v/>
      </c>
      <c r="R4" s="67">
        <f>C4-M4</f>
        <v/>
      </c>
      <c r="S4" s="67">
        <f>C4-O4</f>
        <v/>
      </c>
      <c r="T4" s="67">
        <f>E4-O4</f>
        <v/>
      </c>
      <c r="U4" s="67">
        <f>G4-O4</f>
        <v/>
      </c>
      <c r="V4" s="67">
        <f>G4-K4</f>
        <v/>
      </c>
      <c r="W4" s="67">
        <f>C4-K4</f>
        <v/>
      </c>
      <c r="X4" s="67">
        <f>I4-G4</f>
        <v/>
      </c>
      <c r="Y4" s="75">
        <f>G4-M4</f>
        <v/>
      </c>
    </row>
    <row r="5" customFormat="1" s="69">
      <c r="A5" s="65" t="n">
        <v>44491</v>
      </c>
      <c r="B5" s="66" t="n">
        <v>36.81</v>
      </c>
      <c r="C5" s="67">
        <f>myParidad('Flujo de Fondos'!$B$5,A5,B5,'Flujo de Fondos'!$B$7,'Flujo de Fondos'!$B$6)</f>
        <v/>
      </c>
      <c r="D5" s="66" t="n">
        <v>39</v>
      </c>
      <c r="E5" s="75">
        <f>myParidad('Flujo de Fondos'!$H$5,$A5,D5,'Flujo de Fondos'!$H$7,'Flujo de Fondos'!$H$6)</f>
        <v/>
      </c>
      <c r="F5" s="66" t="n">
        <v>35.82</v>
      </c>
      <c r="G5" s="67">
        <f>myParidad('Flujo de Fondos'!$N$5,$A5,F5,'Flujo de Fondos'!$N$7,'Flujo de Fondos'!$N$6)</f>
        <v/>
      </c>
      <c r="H5" s="68" t="n">
        <v>37.7</v>
      </c>
      <c r="I5" s="67">
        <f>myParidad('Flujo de Fondos'!$T$5,$A5,H5,'Flujo de Fondos'!$T$7,'Flujo de Fondos'!$T$6)</f>
        <v/>
      </c>
      <c r="J5" s="68" t="n">
        <v>33.2</v>
      </c>
      <c r="K5" s="67">
        <f>myParidad('Flujo de Fondos'!$B$34,$A5,J5,'Flujo de Fondos'!$B$36,'Flujo de Fondos'!$B$35)</f>
        <v/>
      </c>
      <c r="L5" s="66" t="n">
        <v>36.75</v>
      </c>
      <c r="M5" s="67">
        <f>myParidad('Flujo de Fondos'!$H$34,'Paridad usd'!$A5,'Paridad usd'!L5,'Flujo de Fondos'!$H$36,'Flujo de Fondos'!$H$35)</f>
        <v/>
      </c>
      <c r="N5" s="68" t="n">
        <v>35.61</v>
      </c>
      <c r="O5" s="67">
        <f>myParidad('Flujo de Fondos'!$N$34,$A5,N5,'Flujo de Fondos'!$N$36,'Flujo de Fondos'!$N$35)</f>
        <v/>
      </c>
      <c r="P5" s="67">
        <f>C5-G5</f>
        <v/>
      </c>
      <c r="Q5" s="67">
        <f>E5-C5</f>
        <v/>
      </c>
      <c r="R5" s="67">
        <f>C5-M5</f>
        <v/>
      </c>
      <c r="S5" s="67">
        <f>C5-O5</f>
        <v/>
      </c>
      <c r="T5" s="67">
        <f>E5-O5</f>
        <v/>
      </c>
      <c r="U5" s="67">
        <f>G5-O5</f>
        <v/>
      </c>
      <c r="V5" s="67">
        <f>G5-K5</f>
        <v/>
      </c>
      <c r="W5" s="67">
        <f>C5-K5</f>
        <v/>
      </c>
      <c r="X5" s="67">
        <f>I5-G5</f>
        <v/>
      </c>
      <c r="Y5" s="75">
        <f>G5-M5</f>
        <v/>
      </c>
    </row>
    <row r="6" customFormat="1" s="69">
      <c r="A6" s="65" t="n">
        <v>44490</v>
      </c>
      <c r="B6" s="66" t="n">
        <v>36.88</v>
      </c>
      <c r="C6" s="67">
        <f>myParidad('Flujo de Fondos'!$B$5,A6,B6,'Flujo de Fondos'!$B$7,'Flujo de Fondos'!$B$6)</f>
        <v/>
      </c>
      <c r="D6" s="66" t="n">
        <v>39</v>
      </c>
      <c r="E6" s="75">
        <f>myParidad('Flujo de Fondos'!$H$5,$A6,D6,'Flujo de Fondos'!$H$7,'Flujo de Fondos'!$H$6)</f>
        <v/>
      </c>
      <c r="F6" s="66" t="n">
        <v>35.85</v>
      </c>
      <c r="G6" s="67">
        <f>myParidad('Flujo de Fondos'!$N$5,$A6,F6,'Flujo de Fondos'!$N$7,'Flujo de Fondos'!$N$6)</f>
        <v/>
      </c>
      <c r="H6" s="68" t="n">
        <v>37.65</v>
      </c>
      <c r="I6" s="67">
        <f>myParidad('Flujo de Fondos'!$T$5,$A6,H6,'Flujo de Fondos'!$T$7,'Flujo de Fondos'!$T$6)</f>
        <v/>
      </c>
      <c r="J6" s="68" t="n">
        <v>33.2</v>
      </c>
      <c r="K6" s="67">
        <f>myParidad('Flujo de Fondos'!$B$34,$A6,J6,'Flujo de Fondos'!$B$36,'Flujo de Fondos'!$B$35)</f>
        <v/>
      </c>
      <c r="L6" s="66" t="n">
        <v>36.75</v>
      </c>
      <c r="M6" s="67">
        <f>myParidad('Flujo de Fondos'!$H$34,'Paridad usd'!$A6,'Paridad usd'!L6,'Flujo de Fondos'!$H$36,'Flujo de Fondos'!$H$35)</f>
        <v/>
      </c>
      <c r="N6" s="68" t="n">
        <v>35.6</v>
      </c>
      <c r="O6" s="67">
        <f>myParidad('Flujo de Fondos'!$N$34,$A6,N6,'Flujo de Fondos'!$N$36,'Flujo de Fondos'!$N$35)</f>
        <v/>
      </c>
      <c r="P6" s="67">
        <f>C6-G6</f>
        <v/>
      </c>
      <c r="Q6" s="67">
        <f>E6-C6</f>
        <v/>
      </c>
      <c r="R6" s="67">
        <f>C6-M6</f>
        <v/>
      </c>
      <c r="S6" s="67">
        <f>C6-O6</f>
        <v/>
      </c>
      <c r="T6" s="67">
        <f>E6-O6</f>
        <v/>
      </c>
      <c r="U6" s="67">
        <f>G6-O6</f>
        <v/>
      </c>
      <c r="V6" s="67">
        <f>G6-K6</f>
        <v/>
      </c>
      <c r="W6" s="67">
        <f>C6-K6</f>
        <v/>
      </c>
      <c r="X6" s="67">
        <f>I6-G6</f>
        <v/>
      </c>
      <c r="Y6" s="75">
        <f>G6-M6</f>
        <v/>
      </c>
    </row>
    <row r="7" customFormat="1" s="69">
      <c r="A7" s="65" t="n">
        <v>44489</v>
      </c>
      <c r="B7" s="66" t="n">
        <v>37.3</v>
      </c>
      <c r="C7" s="67">
        <f>myParidad('Flujo de Fondos'!$B$5,A7,B7,'Flujo de Fondos'!$B$7,'Flujo de Fondos'!$B$6)</f>
        <v/>
      </c>
      <c r="D7" s="66" t="n">
        <v>39.5</v>
      </c>
      <c r="E7" s="75">
        <f>myParidad('Flujo de Fondos'!$H$5,$A7,D7,'Flujo de Fondos'!$H$7,'Flujo de Fondos'!$H$6)</f>
        <v/>
      </c>
      <c r="F7" s="66" t="n">
        <v>35.84</v>
      </c>
      <c r="G7" s="67">
        <f>myParidad('Flujo de Fondos'!$N$5,$A7,F7,'Flujo de Fondos'!$N$7,'Flujo de Fondos'!$N$6)</f>
        <v/>
      </c>
      <c r="H7" s="68" t="n">
        <v>37.75</v>
      </c>
      <c r="I7" s="67">
        <f>myParidad('Flujo de Fondos'!$T$5,$A7,H7,'Flujo de Fondos'!$T$7,'Flujo de Fondos'!$T$6)</f>
        <v/>
      </c>
      <c r="J7" s="68" t="n">
        <v>33.2</v>
      </c>
      <c r="K7" s="67">
        <f>myParidad('Flujo de Fondos'!$B$34,$A7,J7,'Flujo de Fondos'!$B$36,'Flujo de Fondos'!$B$35)</f>
        <v/>
      </c>
      <c r="L7" s="66" t="n">
        <v>36.75</v>
      </c>
      <c r="M7" s="67">
        <f>myParidad('Flujo de Fondos'!$H$34,'Paridad usd'!$A7,'Paridad usd'!L7,'Flujo de Fondos'!$H$36,'Flujo de Fondos'!$H$35)</f>
        <v/>
      </c>
      <c r="N7" s="68" t="n">
        <v>35.8</v>
      </c>
      <c r="O7" s="67">
        <f>myParidad('Flujo de Fondos'!$N$34,$A7,N7,'Flujo de Fondos'!$N$36,'Flujo de Fondos'!$N$35)</f>
        <v/>
      </c>
      <c r="P7" s="67">
        <f>C7-G7</f>
        <v/>
      </c>
      <c r="Q7" s="67">
        <f>E7-C7</f>
        <v/>
      </c>
      <c r="R7" s="67">
        <f>C7-M7</f>
        <v/>
      </c>
      <c r="S7" s="67">
        <f>C7-O7</f>
        <v/>
      </c>
      <c r="T7" s="67">
        <f>E7-O7</f>
        <v/>
      </c>
      <c r="U7" s="67">
        <f>G7-O7</f>
        <v/>
      </c>
      <c r="V7" s="67">
        <f>G7-K7</f>
        <v/>
      </c>
      <c r="W7" s="67">
        <f>C7-K7</f>
        <v/>
      </c>
      <c r="X7" s="67">
        <f>I7-G7</f>
        <v/>
      </c>
      <c r="Y7" s="75">
        <f>G7-M7</f>
        <v/>
      </c>
    </row>
    <row r="8" customFormat="1" s="69">
      <c r="A8" s="65" t="n">
        <v>44488</v>
      </c>
      <c r="B8" s="66" t="n">
        <v>37.06</v>
      </c>
      <c r="C8" s="67">
        <f>myParidad('Flujo de Fondos'!$B$5,A8,B8,'Flujo de Fondos'!$B$7,'Flujo de Fondos'!$B$6)</f>
        <v/>
      </c>
      <c r="D8" s="66" t="n">
        <v>39.5</v>
      </c>
      <c r="E8" s="75">
        <f>myParidad('Flujo de Fondos'!$H$5,$A8,D8,'Flujo de Fondos'!$H$7,'Flujo de Fondos'!$H$6)</f>
        <v/>
      </c>
      <c r="F8" s="66" t="n">
        <v>35.82</v>
      </c>
      <c r="G8" s="67">
        <f>myParidad('Flujo de Fondos'!$N$5,$A8,F8,'Flujo de Fondos'!$N$7,'Flujo de Fondos'!$N$6)</f>
        <v/>
      </c>
      <c r="H8" s="68" t="n">
        <v>37.35</v>
      </c>
      <c r="I8" s="67">
        <f>myParidad('Flujo de Fondos'!$T$5,$A8,H8,'Flujo de Fondos'!$T$7,'Flujo de Fondos'!$T$6)</f>
        <v/>
      </c>
      <c r="J8" s="68" t="n">
        <v>33.5</v>
      </c>
      <c r="K8" s="67">
        <f>myParidad('Flujo de Fondos'!$B$34,$A8,J8,'Flujo de Fondos'!$B$36,'Flujo de Fondos'!$B$35)</f>
        <v/>
      </c>
      <c r="L8" s="66" t="n">
        <v>37</v>
      </c>
      <c r="M8" s="67">
        <f>myParidad('Flujo de Fondos'!$H$34,'Paridad usd'!$A8,'Paridad usd'!L8,'Flujo de Fondos'!$H$36,'Flujo de Fondos'!$H$35)</f>
        <v/>
      </c>
      <c r="N8" s="68" t="n">
        <v>36.01</v>
      </c>
      <c r="O8" s="67">
        <f>myParidad('Flujo de Fondos'!$N$34,$A8,N8,'Flujo de Fondos'!$N$36,'Flujo de Fondos'!$N$35)</f>
        <v/>
      </c>
      <c r="P8" s="67">
        <f>C8-G8</f>
        <v/>
      </c>
      <c r="Q8" s="67">
        <f>E8-C8</f>
        <v/>
      </c>
      <c r="R8" s="67">
        <f>C8-M8</f>
        <v/>
      </c>
      <c r="S8" s="67">
        <f>C8-O8</f>
        <v/>
      </c>
      <c r="T8" s="67">
        <f>E8-O8</f>
        <v/>
      </c>
      <c r="U8" s="67">
        <f>G8-O8</f>
        <v/>
      </c>
      <c r="V8" s="67">
        <f>G8-K8</f>
        <v/>
      </c>
      <c r="W8" s="67">
        <f>C8-K8</f>
        <v/>
      </c>
      <c r="X8" s="67">
        <f>I8-G8</f>
        <v/>
      </c>
      <c r="Y8" s="75">
        <f>G8-M8</f>
        <v/>
      </c>
    </row>
    <row r="9" customFormat="1" s="69">
      <c r="A9" s="65" t="n">
        <v>44487</v>
      </c>
      <c r="B9" s="66" t="n">
        <v>37.02</v>
      </c>
      <c r="C9" s="67">
        <f>myParidad('Flujo de Fondos'!$B$5,A9,B9,'Flujo de Fondos'!$B$7,'Flujo de Fondos'!$B$6)</f>
        <v/>
      </c>
      <c r="D9" s="66" t="n">
        <v>39.5</v>
      </c>
      <c r="E9" s="75">
        <f>myParidad('Flujo de Fondos'!$H$5,$A9,D9,'Flujo de Fondos'!$H$7,'Flujo de Fondos'!$H$6)</f>
        <v/>
      </c>
      <c r="F9" s="66" t="n">
        <v>35.85</v>
      </c>
      <c r="G9" s="67">
        <f>myParidad('Flujo de Fondos'!$N$5,$A9,F9,'Flujo de Fondos'!$N$7,'Flujo de Fondos'!$N$6)</f>
        <v/>
      </c>
      <c r="H9" s="68" t="n">
        <v>37.4</v>
      </c>
      <c r="I9" s="67">
        <f>myParidad('Flujo de Fondos'!$T$5,$A9,H9,'Flujo de Fondos'!$T$7,'Flujo de Fondos'!$T$6)</f>
        <v/>
      </c>
      <c r="J9" s="68" t="n">
        <v>33.1</v>
      </c>
      <c r="K9" s="67">
        <f>myParidad('Flujo de Fondos'!$B$34,$A9,J9,'Flujo de Fondos'!$B$36,'Flujo de Fondos'!$B$35)</f>
        <v/>
      </c>
      <c r="L9" s="66" t="n">
        <v>37.3</v>
      </c>
      <c r="M9" s="67">
        <f>myParidad('Flujo de Fondos'!$H$34,'Paridad usd'!$A9,'Paridad usd'!L9,'Flujo de Fondos'!$H$36,'Flujo de Fondos'!$H$35)</f>
        <v/>
      </c>
      <c r="N9" s="68" t="n">
        <v>36.4</v>
      </c>
      <c r="O9" s="67">
        <f>myParidad('Flujo de Fondos'!$N$34,$A9,N9,'Flujo de Fondos'!$N$36,'Flujo de Fondos'!$N$35)</f>
        <v/>
      </c>
      <c r="P9" s="67">
        <f>C9-G9</f>
        <v/>
      </c>
      <c r="Q9" s="67">
        <f>E9-C9</f>
        <v/>
      </c>
      <c r="R9" s="67">
        <f>C9-M9</f>
        <v/>
      </c>
      <c r="S9" s="67">
        <f>C9-O9</f>
        <v/>
      </c>
      <c r="T9" s="67">
        <f>E9-O9</f>
        <v/>
      </c>
      <c r="U9" s="67">
        <f>G9-O9</f>
        <v/>
      </c>
      <c r="V9" s="67">
        <f>G9-K9</f>
        <v/>
      </c>
      <c r="W9" s="67">
        <f>C9-K9</f>
        <v/>
      </c>
      <c r="X9" s="67">
        <f>I9-G9</f>
        <v/>
      </c>
      <c r="Y9" s="75">
        <f>G9-M9</f>
        <v/>
      </c>
    </row>
    <row r="10" customFormat="1" s="69">
      <c r="A10" s="65" t="n">
        <v>44484</v>
      </c>
      <c r="B10" s="66" t="n">
        <v>37.5</v>
      </c>
      <c r="C10" s="67">
        <f>myParidad('Flujo de Fondos'!$B$5,A10,B10,'Flujo de Fondos'!$B$7,'Flujo de Fondos'!$B$6)</f>
        <v/>
      </c>
      <c r="D10" s="66" t="n">
        <v>40.61</v>
      </c>
      <c r="E10" s="75">
        <f>myParidad('Flujo de Fondos'!$H$5,$A10,D10,'Flujo de Fondos'!$H$7,'Flujo de Fondos'!$H$6)</f>
        <v/>
      </c>
      <c r="F10" s="66" t="n">
        <v>35.97</v>
      </c>
      <c r="G10" s="67">
        <f>myParidad('Flujo de Fondos'!$N$5,$A10,F10,'Flujo de Fondos'!$N$7,'Flujo de Fondos'!$N$6)</f>
        <v/>
      </c>
      <c r="H10" s="68" t="n">
        <v>37.75</v>
      </c>
      <c r="I10" s="67">
        <f>myParidad('Flujo de Fondos'!$T$5,$A10,H10,'Flujo de Fondos'!$T$7,'Flujo de Fondos'!$T$6)</f>
        <v/>
      </c>
      <c r="J10" s="68" t="n">
        <v>33.45</v>
      </c>
      <c r="K10" s="67">
        <f>myParidad('Flujo de Fondos'!$B$34,$A10,J10,'Flujo de Fondos'!$B$36,'Flujo de Fondos'!$B$35)</f>
        <v/>
      </c>
      <c r="L10" s="66" t="n">
        <v>37</v>
      </c>
      <c r="M10" s="67">
        <f>myParidad('Flujo de Fondos'!$H$34,'Paridad usd'!$A10,'Paridad usd'!L10,'Flujo de Fondos'!$H$36,'Flujo de Fondos'!$H$35)</f>
        <v/>
      </c>
      <c r="N10" s="68" t="n">
        <v>37.2</v>
      </c>
      <c r="O10" s="67">
        <f>myParidad('Flujo de Fondos'!$N$34,$A10,N10,'Flujo de Fondos'!$N$36,'Flujo de Fondos'!$N$35)</f>
        <v/>
      </c>
      <c r="P10" s="67">
        <f>C10-G10</f>
        <v/>
      </c>
      <c r="Q10" s="67">
        <f>E10-C10</f>
        <v/>
      </c>
      <c r="R10" s="67">
        <f>C10-M10</f>
        <v/>
      </c>
      <c r="S10" s="67">
        <f>C10-O10</f>
        <v/>
      </c>
      <c r="T10" s="67">
        <f>E10-O10</f>
        <v/>
      </c>
      <c r="U10" s="67">
        <f>G10-O10</f>
        <v/>
      </c>
      <c r="V10" s="67">
        <f>G10-K10</f>
        <v/>
      </c>
      <c r="W10" s="67">
        <f>C10-K10</f>
        <v/>
      </c>
      <c r="X10" s="67">
        <f>I10-G10</f>
        <v/>
      </c>
      <c r="Y10" s="75">
        <f>G10-M10</f>
        <v/>
      </c>
    </row>
    <row r="11" customFormat="1" s="69">
      <c r="A11" s="65" t="n">
        <v>44483</v>
      </c>
      <c r="B11" s="66" t="n">
        <v>37.4</v>
      </c>
      <c r="C11" s="67">
        <f>myParidad('Flujo de Fondos'!$B$5,A11,B11,'Flujo de Fondos'!$B$7,'Flujo de Fondos'!$B$6)</f>
        <v/>
      </c>
      <c r="D11" s="66" t="n">
        <v>40.5</v>
      </c>
      <c r="E11" s="75">
        <f>myParidad('Flujo de Fondos'!$H$5,$A11,D11,'Flujo de Fondos'!$H$7,'Flujo de Fondos'!$H$6)</f>
        <v/>
      </c>
      <c r="F11" s="66" t="n">
        <v>36.07</v>
      </c>
      <c r="G11" s="67">
        <f>myParidad('Flujo de Fondos'!$N$5,$A11,F11,'Flujo de Fondos'!$N$7,'Flujo de Fondos'!$N$6)</f>
        <v/>
      </c>
      <c r="H11" s="68" t="n">
        <v>38.2</v>
      </c>
      <c r="I11" s="67">
        <f>myParidad('Flujo de Fondos'!$T$5,$A11,H11,'Flujo de Fondos'!$T$7,'Flujo de Fondos'!$T$6)</f>
        <v/>
      </c>
      <c r="J11" s="68" t="n">
        <v>32.5</v>
      </c>
      <c r="K11" s="67">
        <f>myParidad('Flujo de Fondos'!$B$34,$A11,J11,'Flujo de Fondos'!$B$36,'Flujo de Fondos'!$B$35)</f>
        <v/>
      </c>
      <c r="L11" s="66" t="n">
        <v>37</v>
      </c>
      <c r="M11" s="67">
        <f>myParidad('Flujo de Fondos'!$H$34,'Paridad usd'!$A11,'Paridad usd'!L11,'Flujo de Fondos'!$H$36,'Flujo de Fondos'!$H$35)</f>
        <v/>
      </c>
      <c r="N11" s="68" t="n">
        <v>37.1</v>
      </c>
      <c r="O11" s="67">
        <f>myParidad('Flujo de Fondos'!$N$34,$A11,N11,'Flujo de Fondos'!$N$36,'Flujo de Fondos'!$N$35)</f>
        <v/>
      </c>
      <c r="P11" s="67">
        <f>C11-G11</f>
        <v/>
      </c>
      <c r="Q11" s="67">
        <f>E11-C11</f>
        <v/>
      </c>
      <c r="R11" s="67">
        <f>C11-M11</f>
        <v/>
      </c>
      <c r="S11" s="67">
        <f>C11-O11</f>
        <v/>
      </c>
      <c r="T11" s="67">
        <f>E11-O11</f>
        <v/>
      </c>
      <c r="U11" s="67">
        <f>G11-O11</f>
        <v/>
      </c>
      <c r="V11" s="67">
        <f>G11-K11</f>
        <v/>
      </c>
      <c r="W11" s="67">
        <f>C11-K11</f>
        <v/>
      </c>
      <c r="X11" s="67">
        <f>I11-G11</f>
        <v/>
      </c>
      <c r="Y11" s="75">
        <f>G11-M11</f>
        <v/>
      </c>
    </row>
    <row r="12" customFormat="1" s="69">
      <c r="A12" s="65" t="n">
        <v>44482</v>
      </c>
      <c r="B12" s="66" t="n">
        <v>37</v>
      </c>
      <c r="C12" s="67">
        <f>myParidad('Flujo de Fondos'!$B$5,A12,B12,'Flujo de Fondos'!$B$7,'Flujo de Fondos'!$B$6)</f>
        <v/>
      </c>
      <c r="D12" s="66" t="n">
        <v>40.56</v>
      </c>
      <c r="E12" s="75">
        <f>myParidad('Flujo de Fondos'!$H$5,$A12,D12,'Flujo de Fondos'!$H$7,'Flujo de Fondos'!$H$6)</f>
        <v/>
      </c>
      <c r="F12" s="66" t="n">
        <v>36.11</v>
      </c>
      <c r="G12" s="67">
        <f>myParidad('Flujo de Fondos'!$N$5,$A12,F12,'Flujo de Fondos'!$N$7,'Flujo de Fondos'!$N$6)</f>
        <v/>
      </c>
      <c r="H12" s="68" t="n">
        <v>38.11</v>
      </c>
      <c r="I12" s="67">
        <f>myParidad('Flujo de Fondos'!$T$5,$A12,H12,'Flujo de Fondos'!$T$7,'Flujo de Fondos'!$T$6)</f>
        <v/>
      </c>
      <c r="J12" s="68" t="n">
        <v>33.8</v>
      </c>
      <c r="K12" s="67">
        <f>myParidad('Flujo de Fondos'!$B$34,$A12,J12,'Flujo de Fondos'!$B$36,'Flujo de Fondos'!$B$35)</f>
        <v/>
      </c>
      <c r="L12" s="66" t="n">
        <v>37.5</v>
      </c>
      <c r="M12" s="67">
        <f>myParidad('Flujo de Fondos'!$H$34,'Paridad usd'!$A12,'Paridad usd'!L12,'Flujo de Fondos'!$H$36,'Flujo de Fondos'!$H$35)</f>
        <v/>
      </c>
      <c r="N12" s="68" t="n">
        <v>36.6</v>
      </c>
      <c r="O12" s="67">
        <f>myParidad('Flujo de Fondos'!$N$34,$A12,N12,'Flujo de Fondos'!$N$36,'Flujo de Fondos'!$N$35)</f>
        <v/>
      </c>
      <c r="P12" s="67">
        <f>C12-G12</f>
        <v/>
      </c>
      <c r="Q12" s="67">
        <f>E12-C12</f>
        <v/>
      </c>
      <c r="R12" s="67">
        <f>C12-M12</f>
        <v/>
      </c>
      <c r="S12" s="67">
        <f>C12-O12</f>
        <v/>
      </c>
      <c r="T12" s="67">
        <f>E12-O12</f>
        <v/>
      </c>
      <c r="U12" s="67">
        <f>G12-O12</f>
        <v/>
      </c>
      <c r="V12" s="67">
        <f>G12-K12</f>
        <v/>
      </c>
      <c r="W12" s="67">
        <f>C12-K12</f>
        <v/>
      </c>
      <c r="X12" s="67">
        <f>I12-G12</f>
        <v/>
      </c>
      <c r="Y12" s="75">
        <f>G12-M12</f>
        <v/>
      </c>
    </row>
    <row r="13" customFormat="1" s="69">
      <c r="A13" s="65" t="n">
        <v>44481</v>
      </c>
      <c r="B13" s="66" t="n">
        <v>37.65</v>
      </c>
      <c r="C13" s="67">
        <f>myParidad('Flujo de Fondos'!$B$5,A13,B13,'Flujo de Fondos'!$B$7,'Flujo de Fondos'!$B$6)</f>
        <v/>
      </c>
      <c r="D13" s="66" t="n">
        <v>40.5</v>
      </c>
      <c r="E13" s="75">
        <f>myParidad('Flujo de Fondos'!$H$5,$A13,D13,'Flujo de Fondos'!$H$7,'Flujo de Fondos'!$H$6)</f>
        <v/>
      </c>
      <c r="F13" s="66" t="n">
        <v>36.17</v>
      </c>
      <c r="G13" s="67">
        <f>myParidad('Flujo de Fondos'!$N$5,$A13,F13,'Flujo de Fondos'!$N$7,'Flujo de Fondos'!$N$6)</f>
        <v/>
      </c>
      <c r="H13" s="68" t="n">
        <v>38.74</v>
      </c>
      <c r="I13" s="67">
        <f>myParidad('Flujo de Fondos'!$T$5,$A13,H13,'Flujo de Fondos'!$T$7,'Flujo de Fondos'!$T$6)</f>
        <v/>
      </c>
      <c r="J13" s="68" t="n">
        <v>33.6</v>
      </c>
      <c r="K13" s="67">
        <f>myParidad('Flujo de Fondos'!$B$34,$A13,J13,'Flujo de Fondos'!$B$36,'Flujo de Fondos'!$B$35)</f>
        <v/>
      </c>
      <c r="L13" s="66" t="n">
        <v>38.4</v>
      </c>
      <c r="M13" s="67">
        <f>myParidad('Flujo de Fondos'!$H$34,'Paridad usd'!$A13,'Paridad usd'!L13,'Flujo de Fondos'!$H$36,'Flujo de Fondos'!$H$35)</f>
        <v/>
      </c>
      <c r="N13" s="68" t="n">
        <v>36.89</v>
      </c>
      <c r="O13" s="67">
        <f>myParidad('Flujo de Fondos'!$N$34,$A13,N13,'Flujo de Fondos'!$N$36,'Flujo de Fondos'!$N$35)</f>
        <v/>
      </c>
      <c r="P13" s="67">
        <f>C13-G13</f>
        <v/>
      </c>
      <c r="Q13" s="67">
        <f>E13-C13</f>
        <v/>
      </c>
      <c r="R13" s="67">
        <f>C13-M13</f>
        <v/>
      </c>
      <c r="S13" s="67">
        <f>C13-O13</f>
        <v/>
      </c>
      <c r="T13" s="67">
        <f>E13-O13</f>
        <v/>
      </c>
      <c r="U13" s="67">
        <f>G13-O13</f>
        <v/>
      </c>
      <c r="V13" s="67">
        <f>G13-K13</f>
        <v/>
      </c>
      <c r="W13" s="67">
        <f>C13-K13</f>
        <v/>
      </c>
      <c r="X13" s="67">
        <f>I13-G13</f>
        <v/>
      </c>
      <c r="Y13" s="75">
        <f>G13-M13</f>
        <v/>
      </c>
    </row>
    <row r="14" customFormat="1" s="69">
      <c r="A14" s="65" t="n">
        <v>44476</v>
      </c>
      <c r="B14" s="66" t="n">
        <v>37.45</v>
      </c>
      <c r="C14" s="67">
        <f>myParidad('Flujo de Fondos'!$B$5,A14,B14,'Flujo de Fondos'!$B$7,'Flujo de Fondos'!$B$6)</f>
        <v/>
      </c>
      <c r="D14" s="66" t="n">
        <v>41</v>
      </c>
      <c r="E14" s="75">
        <f>myParidad('Flujo de Fondos'!$H$5,$A14,D14,'Flujo de Fondos'!$H$7,'Flujo de Fondos'!$H$6)</f>
        <v/>
      </c>
      <c r="F14" s="66" t="n">
        <v>36.39</v>
      </c>
      <c r="G14" s="67">
        <f>myParidad('Flujo de Fondos'!$N$5,$A14,F14,'Flujo de Fondos'!$N$7,'Flujo de Fondos'!$N$6)</f>
        <v/>
      </c>
      <c r="H14" s="68" t="n">
        <v>39.15</v>
      </c>
      <c r="I14" s="67">
        <f>myParidad('Flujo de Fondos'!$T$5,$A14,H14,'Flujo de Fondos'!$T$7,'Flujo de Fondos'!$T$6)</f>
        <v/>
      </c>
      <c r="J14" s="68" t="n">
        <v>34</v>
      </c>
      <c r="K14" s="67">
        <f>myParidad('Flujo de Fondos'!$B$34,$A14,J14,'Flujo de Fondos'!$B$36,'Flujo de Fondos'!$B$35)</f>
        <v/>
      </c>
      <c r="L14" s="66" t="n">
        <v>37.25</v>
      </c>
      <c r="M14" s="67">
        <f>myParidad('Flujo de Fondos'!$H$34,'Paridad usd'!$A14,'Paridad usd'!L14,'Flujo de Fondos'!$H$36,'Flujo de Fondos'!$H$35)</f>
        <v/>
      </c>
      <c r="N14" s="68" t="n">
        <v>36.8</v>
      </c>
      <c r="O14" s="67">
        <f>myParidad('Flujo de Fondos'!$N$34,$A14,N14,'Flujo de Fondos'!$N$36,'Flujo de Fondos'!$N$35)</f>
        <v/>
      </c>
      <c r="P14" s="67">
        <f>C14-G14</f>
        <v/>
      </c>
      <c r="Q14" s="67">
        <f>E14-C14</f>
        <v/>
      </c>
      <c r="R14" s="67">
        <f>C14-M14</f>
        <v/>
      </c>
      <c r="S14" s="67">
        <f>C14-O14</f>
        <v/>
      </c>
      <c r="T14" s="67">
        <f>E14-O14</f>
        <v/>
      </c>
      <c r="U14" s="67">
        <f>G14-O14</f>
        <v/>
      </c>
      <c r="V14" s="67">
        <f>G14-K14</f>
        <v/>
      </c>
      <c r="W14" s="67">
        <f>C14-K14</f>
        <v/>
      </c>
      <c r="X14" s="67">
        <f>I14-G14</f>
        <v/>
      </c>
      <c r="Y14" s="75">
        <f>G14-M14</f>
        <v/>
      </c>
    </row>
    <row r="15" customFormat="1" s="69">
      <c r="A15" s="65" t="n">
        <v>44475</v>
      </c>
      <c r="B15" s="66" t="n">
        <v>38</v>
      </c>
      <c r="C15" s="67">
        <f>myParidad('Flujo de Fondos'!$B$5,A15,B15,'Flujo de Fondos'!$B$7,'Flujo de Fondos'!$B$6)</f>
        <v/>
      </c>
      <c r="D15" s="66" t="n">
        <v>41.7</v>
      </c>
      <c r="E15" s="75">
        <f>myParidad('Flujo de Fondos'!$H$5,$A15,D15,'Flujo de Fondos'!$H$7,'Flujo de Fondos'!$H$6)</f>
        <v/>
      </c>
      <c r="F15" s="66" t="n">
        <v>36.38</v>
      </c>
      <c r="G15" s="67">
        <f>myParidad('Flujo de Fondos'!$N$5,$A15,F15,'Flujo de Fondos'!$N$7,'Flujo de Fondos'!$N$6)</f>
        <v/>
      </c>
      <c r="H15" s="68" t="n">
        <v>39.5</v>
      </c>
      <c r="I15" s="67">
        <f>myParidad('Flujo de Fondos'!$T$5,$A15,H15,'Flujo de Fondos'!$T$7,'Flujo de Fondos'!$T$6)</f>
        <v/>
      </c>
      <c r="J15" s="68" t="n">
        <v>33.1</v>
      </c>
      <c r="K15" s="67">
        <f>myParidad('Flujo de Fondos'!$B$34,$A15,J15,'Flujo de Fondos'!$B$36,'Flujo de Fondos'!$B$35)</f>
        <v/>
      </c>
      <c r="L15" s="66" t="n">
        <v>37.35</v>
      </c>
      <c r="M15" s="67">
        <f>myParidad('Flujo de Fondos'!$H$34,'Paridad usd'!$A15,'Paridad usd'!L15,'Flujo de Fondos'!$H$36,'Flujo de Fondos'!$H$35)</f>
        <v/>
      </c>
      <c r="N15" s="68" t="n">
        <v>36.9</v>
      </c>
      <c r="O15" s="67">
        <f>myParidad('Flujo de Fondos'!$N$34,$A15,N15,'Flujo de Fondos'!$N$36,'Flujo de Fondos'!$N$35)</f>
        <v/>
      </c>
      <c r="P15" s="67">
        <f>C15-G15</f>
        <v/>
      </c>
      <c r="Q15" s="67">
        <f>E15-C15</f>
        <v/>
      </c>
      <c r="R15" s="67">
        <f>C15-M15</f>
        <v/>
      </c>
      <c r="S15" s="67">
        <f>C15-O15</f>
        <v/>
      </c>
      <c r="T15" s="67">
        <f>E15-O15</f>
        <v/>
      </c>
      <c r="U15" s="67">
        <f>G15-O15</f>
        <v/>
      </c>
      <c r="V15" s="67">
        <f>G15-K15</f>
        <v/>
      </c>
      <c r="W15" s="67">
        <f>C15-K15</f>
        <v/>
      </c>
      <c r="X15" s="67">
        <f>I15-G15</f>
        <v/>
      </c>
      <c r="Y15" s="75">
        <f>G15-M15</f>
        <v/>
      </c>
    </row>
    <row r="16" customFormat="1" s="69">
      <c r="A16" s="65" t="n">
        <v>44474</v>
      </c>
      <c r="B16" s="66" t="n">
        <v>38.5</v>
      </c>
      <c r="C16" s="67">
        <f>myParidad('Flujo de Fondos'!$B$5,A16,B16,'Flujo de Fondos'!$B$7,'Flujo de Fondos'!$B$6)</f>
        <v/>
      </c>
      <c r="D16" s="66" t="n">
        <v>41.7</v>
      </c>
      <c r="E16" s="75">
        <f>myParidad('Flujo de Fondos'!$H$5,$A16,D16,'Flujo de Fondos'!$H$7,'Flujo de Fondos'!$H$6)</f>
        <v/>
      </c>
      <c r="F16" s="66" t="n">
        <v>36.69</v>
      </c>
      <c r="G16" s="67">
        <f>myParidad('Flujo de Fondos'!$N$5,$A16,F16,'Flujo de Fondos'!$N$7,'Flujo de Fondos'!$N$6)</f>
        <v/>
      </c>
      <c r="H16" s="68" t="n">
        <v>40</v>
      </c>
      <c r="I16" s="67">
        <f>myParidad('Flujo de Fondos'!$T$5,$A16,H16,'Flujo de Fondos'!$T$7,'Flujo de Fondos'!$T$6)</f>
        <v/>
      </c>
      <c r="J16" s="68" t="n">
        <v>34.45</v>
      </c>
      <c r="K16" s="67">
        <f>myParidad('Flujo de Fondos'!$B$34,$A16,J16,'Flujo de Fondos'!$B$36,'Flujo de Fondos'!$B$35)</f>
        <v/>
      </c>
      <c r="L16" s="66" t="n">
        <v>38</v>
      </c>
      <c r="M16" s="67">
        <f>myParidad('Flujo de Fondos'!$H$34,'Paridad usd'!$A16,'Paridad usd'!L16,'Flujo de Fondos'!$H$36,'Flujo de Fondos'!$H$35)</f>
        <v/>
      </c>
      <c r="N16" s="68" t="n">
        <v>37.38</v>
      </c>
      <c r="O16" s="67">
        <f>myParidad('Flujo de Fondos'!$N$34,$A16,N16,'Flujo de Fondos'!$N$36,'Flujo de Fondos'!$N$35)</f>
        <v/>
      </c>
      <c r="P16" s="67">
        <f>C16-G16</f>
        <v/>
      </c>
      <c r="Q16" s="67">
        <f>E16-C16</f>
        <v/>
      </c>
      <c r="R16" s="67">
        <f>C16-M16</f>
        <v/>
      </c>
      <c r="S16" s="67">
        <f>C16-O16</f>
        <v/>
      </c>
      <c r="T16" s="67">
        <f>E16-O16</f>
        <v/>
      </c>
      <c r="U16" s="67">
        <f>G16-O16</f>
        <v/>
      </c>
      <c r="V16" s="67">
        <f>G16-K16</f>
        <v/>
      </c>
      <c r="W16" s="67">
        <f>C16-K16</f>
        <v/>
      </c>
      <c r="X16" s="67">
        <f>I16-G16</f>
        <v/>
      </c>
      <c r="Y16" s="75">
        <f>G16-M16</f>
        <v/>
      </c>
    </row>
    <row r="17" customFormat="1" s="69">
      <c r="A17" s="65" t="n">
        <v>44473</v>
      </c>
      <c r="B17" s="66" t="n">
        <v>38.15</v>
      </c>
      <c r="C17" s="67">
        <f>myParidad('Flujo de Fondos'!$B$5,A17,B17,'Flujo de Fondos'!$B$7,'Flujo de Fondos'!$B$6)</f>
        <v/>
      </c>
      <c r="D17" s="66" t="n">
        <v>41.5</v>
      </c>
      <c r="E17" s="75">
        <f>myParidad('Flujo de Fondos'!$H$5,$A17,D17,'Flujo de Fondos'!$H$7,'Flujo de Fondos'!$H$6)</f>
        <v/>
      </c>
      <c r="F17" s="66" t="n">
        <v>36.87</v>
      </c>
      <c r="G17" s="67">
        <f>myParidad('Flujo de Fondos'!$N$5,$A17,F17,'Flujo de Fondos'!$N$7,'Flujo de Fondos'!$N$6)</f>
        <v/>
      </c>
      <c r="H17" s="68" t="n">
        <v>39.74</v>
      </c>
      <c r="I17" s="67">
        <f>myParidad('Flujo de Fondos'!$T$5,$A17,H17,'Flujo de Fondos'!$T$7,'Flujo de Fondos'!$T$6)</f>
        <v/>
      </c>
      <c r="J17" s="68" t="n">
        <v>34.37</v>
      </c>
      <c r="K17" s="67">
        <f>myParidad('Flujo de Fondos'!$B$34,$A17,J17,'Flujo de Fondos'!$B$36,'Flujo de Fondos'!$B$35)</f>
        <v/>
      </c>
      <c r="L17" s="66" t="n">
        <v>37.8</v>
      </c>
      <c r="M17" s="67">
        <f>myParidad('Flujo de Fondos'!$H$34,'Paridad usd'!$A17,'Paridad usd'!L17,'Flujo de Fondos'!$H$36,'Flujo de Fondos'!$H$35)</f>
        <v/>
      </c>
      <c r="N17" s="68" t="n">
        <v>37.1</v>
      </c>
      <c r="O17" s="67">
        <f>myParidad('Flujo de Fondos'!$N$34,$A17,N17,'Flujo de Fondos'!$N$36,'Flujo de Fondos'!$N$35)</f>
        <v/>
      </c>
      <c r="P17" s="67">
        <f>C17-G17</f>
        <v/>
      </c>
      <c r="Q17" s="67">
        <f>E17-C17</f>
        <v/>
      </c>
      <c r="R17" s="67">
        <f>C17-M17</f>
        <v/>
      </c>
      <c r="S17" s="67">
        <f>C17-O17</f>
        <v/>
      </c>
      <c r="T17" s="67">
        <f>E17-O17</f>
        <v/>
      </c>
      <c r="U17" s="67">
        <f>G17-O17</f>
        <v/>
      </c>
      <c r="V17" s="67">
        <f>G17-K17</f>
        <v/>
      </c>
      <c r="W17" s="67">
        <f>C17-K17</f>
        <v/>
      </c>
      <c r="X17" s="67">
        <f>I17-G17</f>
        <v/>
      </c>
      <c r="Y17" s="75">
        <f>G17-M17</f>
        <v/>
      </c>
    </row>
    <row r="18" customFormat="1" s="69">
      <c r="A18" s="65" t="n">
        <v>44470</v>
      </c>
      <c r="B18" s="66" t="n">
        <v>38.2</v>
      </c>
      <c r="C18" s="67">
        <f>myParidad('Flujo de Fondos'!$B$5,A18,B18,'Flujo de Fondos'!$B$7,'Flujo de Fondos'!$B$6)</f>
        <v/>
      </c>
      <c r="D18" s="66" t="n">
        <v>42.08</v>
      </c>
      <c r="E18" s="75">
        <f>myParidad('Flujo de Fondos'!$H$5,$A18,D18,'Flujo de Fondos'!$H$7,'Flujo de Fondos'!$H$6)</f>
        <v/>
      </c>
      <c r="F18" s="66" t="n">
        <v>36.98</v>
      </c>
      <c r="G18" s="67">
        <f>myParidad('Flujo de Fondos'!$N$5,$A18,F18,'Flujo de Fondos'!$N$7,'Flujo de Fondos'!$N$6)</f>
        <v/>
      </c>
      <c r="H18" s="68" t="n">
        <v>39.99</v>
      </c>
      <c r="I18" s="67">
        <f>myParidad('Flujo de Fondos'!$T$5,$A18,H18,'Flujo de Fondos'!$T$7,'Flujo de Fondos'!$T$6)</f>
        <v/>
      </c>
      <c r="J18" s="68" t="n">
        <v>34.4</v>
      </c>
      <c r="K18" s="67">
        <f>myParidad('Flujo de Fondos'!$B$34,$A18,J18,'Flujo de Fondos'!$B$36,'Flujo de Fondos'!$B$35)</f>
        <v/>
      </c>
      <c r="L18" s="66" t="n">
        <v>38</v>
      </c>
      <c r="M18" s="67">
        <f>myParidad('Flujo de Fondos'!$H$34,'Paridad usd'!$A18,'Paridad usd'!L18,'Flujo de Fondos'!$H$36,'Flujo de Fondos'!$H$35)</f>
        <v/>
      </c>
      <c r="N18" s="68" t="n">
        <v>37.1</v>
      </c>
      <c r="O18" s="67">
        <f>myParidad('Flujo de Fondos'!$N$34,$A18,N18,'Flujo de Fondos'!$N$36,'Flujo de Fondos'!$N$35)</f>
        <v/>
      </c>
      <c r="P18" s="67">
        <f>C18-G18</f>
        <v/>
      </c>
      <c r="Q18" s="67">
        <f>E18-C18</f>
        <v/>
      </c>
      <c r="R18" s="67">
        <f>C18-M18</f>
        <v/>
      </c>
      <c r="S18" s="67">
        <f>C18-O18</f>
        <v/>
      </c>
      <c r="T18" s="67">
        <f>E18-O18</f>
        <v/>
      </c>
      <c r="U18" s="67">
        <f>G18-O18</f>
        <v/>
      </c>
      <c r="V18" s="67">
        <f>G18-K18</f>
        <v/>
      </c>
      <c r="W18" s="67">
        <f>C18-K18</f>
        <v/>
      </c>
      <c r="X18" s="67">
        <f>I18-G18</f>
        <v/>
      </c>
      <c r="Y18" s="75">
        <f>G18-M18</f>
        <v/>
      </c>
    </row>
    <row r="19" customFormat="1" s="69">
      <c r="A19" s="65" t="n">
        <v>44469</v>
      </c>
      <c r="B19" s="66" t="n">
        <v>39</v>
      </c>
      <c r="C19" s="67">
        <f>myParidad('Flujo de Fondos'!$B$5,A19,B19,'Flujo de Fondos'!$B$7,'Flujo de Fondos'!$B$6)</f>
        <v/>
      </c>
      <c r="D19" s="66" t="n">
        <v>41.4</v>
      </c>
      <c r="E19" s="75">
        <f>myParidad('Flujo de Fondos'!$H$5,$A19,D19,'Flujo de Fondos'!$H$7,'Flujo de Fondos'!$H$6)</f>
        <v/>
      </c>
      <c r="F19" s="66" t="n">
        <v>37.12</v>
      </c>
      <c r="G19" s="67">
        <f>myParidad('Flujo de Fondos'!$N$5,$A19,F19,'Flujo de Fondos'!$N$7,'Flujo de Fondos'!$N$6)</f>
        <v/>
      </c>
      <c r="H19" s="68" t="n">
        <v>40</v>
      </c>
      <c r="I19" s="67">
        <f>myParidad('Flujo de Fondos'!$T$5,$A19,H19,'Flujo de Fondos'!$T$7,'Flujo de Fondos'!$T$6)</f>
        <v/>
      </c>
      <c r="J19" s="68" t="n">
        <v>34.5</v>
      </c>
      <c r="K19" s="67">
        <f>myParidad('Flujo de Fondos'!$B$34,$A19,J19,'Flujo de Fondos'!$B$36,'Flujo de Fondos'!$B$35)</f>
        <v/>
      </c>
      <c r="L19" s="66" t="n">
        <v>38</v>
      </c>
      <c r="M19" s="67">
        <f>myParidad('Flujo de Fondos'!$H$34,'Paridad usd'!$A19,'Paridad usd'!L19,'Flujo de Fondos'!$H$36,'Flujo de Fondos'!$H$35)</f>
        <v/>
      </c>
      <c r="N19" s="68" t="n">
        <v>37.5</v>
      </c>
      <c r="O19" s="67">
        <f>myParidad('Flujo de Fondos'!$N$34,$A19,N19,'Flujo de Fondos'!$N$36,'Flujo de Fondos'!$N$35)</f>
        <v/>
      </c>
      <c r="P19" s="67">
        <f>C19-G19</f>
        <v/>
      </c>
      <c r="Q19" s="67">
        <f>E19-C19</f>
        <v/>
      </c>
      <c r="R19" s="67">
        <f>C19-M19</f>
        <v/>
      </c>
      <c r="S19" s="67">
        <f>C19-O19</f>
        <v/>
      </c>
      <c r="T19" s="67">
        <f>E19-O19</f>
        <v/>
      </c>
      <c r="U19" s="67">
        <f>G19-O19</f>
        <v/>
      </c>
      <c r="V19" s="67">
        <f>G19-K19</f>
        <v/>
      </c>
      <c r="W19" s="67">
        <f>C19-K19</f>
        <v/>
      </c>
      <c r="X19" s="67">
        <f>I19-G19</f>
        <v/>
      </c>
      <c r="Y19" s="75">
        <f>G19-M19</f>
        <v/>
      </c>
    </row>
    <row r="20" customFormat="1" s="69">
      <c r="A20" s="65" t="n">
        <v>44468</v>
      </c>
      <c r="B20" s="66" t="n">
        <v>38.9</v>
      </c>
      <c r="C20" s="67">
        <f>myParidad('Flujo de Fondos'!$B$5,A20,B20,'Flujo de Fondos'!$B$7,'Flujo de Fondos'!$B$6)</f>
        <v/>
      </c>
      <c r="D20" s="66" t="n">
        <v>41.75</v>
      </c>
      <c r="E20" s="75">
        <f>myParidad('Flujo de Fondos'!$H$5,$A20,D20,'Flujo de Fondos'!$H$7,'Flujo de Fondos'!$H$6)</f>
        <v/>
      </c>
      <c r="F20" s="66" t="n">
        <v>37.23</v>
      </c>
      <c r="G20" s="67">
        <f>myParidad('Flujo de Fondos'!$N$5,$A20,F20,'Flujo de Fondos'!$N$7,'Flujo de Fondos'!$N$6)</f>
        <v/>
      </c>
      <c r="H20" s="68" t="n">
        <v>40.15</v>
      </c>
      <c r="I20" s="67">
        <f>myParidad('Flujo de Fondos'!$T$5,$A20,H20,'Flujo de Fondos'!$T$7,'Flujo de Fondos'!$T$6)</f>
        <v/>
      </c>
      <c r="J20" s="68" t="n">
        <v>34.75</v>
      </c>
      <c r="K20" s="67">
        <f>myParidad('Flujo de Fondos'!$B$34,$A20,J20,'Flujo de Fondos'!$B$36,'Flujo de Fondos'!$B$35)</f>
        <v/>
      </c>
      <c r="L20" s="66" t="n">
        <v>38.2</v>
      </c>
      <c r="M20" s="67">
        <f>myParidad('Flujo de Fondos'!$H$34,'Paridad usd'!$A20,'Paridad usd'!L20,'Flujo de Fondos'!$H$36,'Flujo de Fondos'!$H$35)</f>
        <v/>
      </c>
      <c r="N20" s="68" t="n">
        <v>37.8</v>
      </c>
      <c r="O20" s="67">
        <f>myParidad('Flujo de Fondos'!$N$34,$A20,N20,'Flujo de Fondos'!$N$36,'Flujo de Fondos'!$N$35)</f>
        <v/>
      </c>
      <c r="P20" s="67">
        <f>C20-G20</f>
        <v/>
      </c>
      <c r="Q20" s="67">
        <f>E20-C20</f>
        <v/>
      </c>
      <c r="R20" s="67">
        <f>C20-M20</f>
        <v/>
      </c>
      <c r="S20" s="67">
        <f>C20-O20</f>
        <v/>
      </c>
      <c r="T20" s="67">
        <f>E20-O20</f>
        <v/>
      </c>
      <c r="U20" s="67">
        <f>G20-O20</f>
        <v/>
      </c>
      <c r="V20" s="67">
        <f>G20-K20</f>
        <v/>
      </c>
      <c r="W20" s="67">
        <f>C20-K20</f>
        <v/>
      </c>
      <c r="X20" s="67">
        <f>I20-G20</f>
        <v/>
      </c>
      <c r="Y20" s="75">
        <f>G20-M20</f>
        <v/>
      </c>
    </row>
    <row r="21" customFormat="1" s="69">
      <c r="A21" s="65" t="n">
        <v>44467</v>
      </c>
      <c r="B21" s="66" t="n">
        <v>38.45</v>
      </c>
      <c r="C21" s="67">
        <f>myParidad('Flujo de Fondos'!$B$5,A21,B21,'Flujo de Fondos'!$B$7,'Flujo de Fondos'!$B$6)</f>
        <v/>
      </c>
      <c r="D21" s="66" t="n">
        <v>41.2</v>
      </c>
      <c r="E21" s="75">
        <f>myParidad('Flujo de Fondos'!$H$5,$A21,D21,'Flujo de Fondos'!$H$7,'Flujo de Fondos'!$H$6)</f>
        <v/>
      </c>
      <c r="F21" s="66" t="n">
        <v>37.12</v>
      </c>
      <c r="G21" s="67">
        <f>myParidad('Flujo de Fondos'!$N$5,$A21,F21,'Flujo de Fondos'!$N$7,'Flujo de Fondos'!$N$6)</f>
        <v/>
      </c>
      <c r="H21" s="68" t="n">
        <v>39.55</v>
      </c>
      <c r="I21" s="67">
        <f>myParidad('Flujo de Fondos'!$T$5,$A21,H21,'Flujo de Fondos'!$T$7,'Flujo de Fondos'!$T$6)</f>
        <v/>
      </c>
      <c r="J21" s="68" t="n">
        <v>34.5</v>
      </c>
      <c r="K21" s="67">
        <f>myParidad('Flujo de Fondos'!$B$34,$A21,J21,'Flujo de Fondos'!$B$36,'Flujo de Fondos'!$B$35)</f>
        <v/>
      </c>
      <c r="L21" s="66" t="n">
        <v>37.9</v>
      </c>
      <c r="M21" s="67">
        <f>myParidad('Flujo de Fondos'!$H$34,'Paridad usd'!$A21,'Paridad usd'!L21,'Flujo de Fondos'!$H$36,'Flujo de Fondos'!$H$35)</f>
        <v/>
      </c>
      <c r="N21" s="68" t="n">
        <v>37.9</v>
      </c>
      <c r="O21" s="67">
        <f>myParidad('Flujo de Fondos'!$N$34,$A21,N21,'Flujo de Fondos'!$N$36,'Flujo de Fondos'!$N$35)</f>
        <v/>
      </c>
      <c r="P21" s="67">
        <f>C21-G21</f>
        <v/>
      </c>
      <c r="Q21" s="67">
        <f>E21-C21</f>
        <v/>
      </c>
      <c r="R21" s="67">
        <f>C21-M21</f>
        <v/>
      </c>
      <c r="S21" s="67">
        <f>C21-O21</f>
        <v/>
      </c>
      <c r="T21" s="67">
        <f>E21-O21</f>
        <v/>
      </c>
      <c r="U21" s="67">
        <f>G21-O21</f>
        <v/>
      </c>
      <c r="V21" s="67">
        <f>G21-K21</f>
        <v/>
      </c>
      <c r="W21" s="67">
        <f>C21-K21</f>
        <v/>
      </c>
      <c r="X21" s="67">
        <f>I21-G21</f>
        <v/>
      </c>
      <c r="Y21" s="75">
        <f>G21-M21</f>
        <v/>
      </c>
    </row>
    <row r="22" customFormat="1" s="69">
      <c r="A22" s="65" t="n">
        <v>44466</v>
      </c>
      <c r="B22" s="66" t="n">
        <v>38.45</v>
      </c>
      <c r="C22" s="67">
        <f>myParidad('Flujo de Fondos'!$B$5,A22,B22,'Flujo de Fondos'!$B$7,'Flujo de Fondos'!$B$6)</f>
        <v/>
      </c>
      <c r="D22" s="66" t="n">
        <v>40.7</v>
      </c>
      <c r="E22" s="75">
        <f>myParidad('Flujo de Fondos'!$H$5,$A22,D22,'Flujo de Fondos'!$H$7,'Flujo de Fondos'!$H$6)</f>
        <v/>
      </c>
      <c r="F22" s="66" t="n">
        <v>37.2</v>
      </c>
      <c r="G22" s="67">
        <f>myParidad('Flujo de Fondos'!$N$5,$A22,F22,'Flujo de Fondos'!$N$7,'Flujo de Fondos'!$N$6)</f>
        <v/>
      </c>
      <c r="H22" s="68" t="n">
        <v>39.1</v>
      </c>
      <c r="I22" s="67">
        <f>myParidad('Flujo de Fondos'!$T$5,$A22,H22,'Flujo de Fondos'!$T$7,'Flujo de Fondos'!$T$6)</f>
        <v/>
      </c>
      <c r="J22" s="68" t="n">
        <v>34.1</v>
      </c>
      <c r="K22" s="67">
        <f>myParidad('Flujo de Fondos'!$B$34,$A22,J22,'Flujo de Fondos'!$B$36,'Flujo de Fondos'!$B$35)</f>
        <v/>
      </c>
      <c r="L22" s="66" t="n">
        <v>37.8</v>
      </c>
      <c r="M22" s="67">
        <f>myParidad('Flujo de Fondos'!$H$34,'Paridad usd'!$A22,'Paridad usd'!L22,'Flujo de Fondos'!$H$36,'Flujo de Fondos'!$H$35)</f>
        <v/>
      </c>
      <c r="N22" s="68" t="n">
        <v>37.4</v>
      </c>
      <c r="O22" s="67">
        <f>myParidad('Flujo de Fondos'!$N$34,$A22,N22,'Flujo de Fondos'!$N$36,'Flujo de Fondos'!$N$35)</f>
        <v/>
      </c>
      <c r="P22" s="67">
        <f>C22-G22</f>
        <v/>
      </c>
      <c r="Q22" s="67">
        <f>E22-C22</f>
        <v/>
      </c>
      <c r="R22" s="67">
        <f>C22-M22</f>
        <v/>
      </c>
      <c r="S22" s="67">
        <f>C22-O22</f>
        <v/>
      </c>
      <c r="T22" s="67">
        <f>E22-O22</f>
        <v/>
      </c>
      <c r="U22" s="67">
        <f>G22-O22</f>
        <v/>
      </c>
      <c r="V22" s="67">
        <f>G22-K22</f>
        <v/>
      </c>
      <c r="W22" s="67">
        <f>C22-K22</f>
        <v/>
      </c>
      <c r="X22" s="67">
        <f>I22-G22</f>
        <v/>
      </c>
      <c r="Y22" s="75">
        <f>G22-M22</f>
        <v/>
      </c>
    </row>
    <row r="23" customFormat="1" s="69">
      <c r="A23" s="65" t="n">
        <v>44463</v>
      </c>
      <c r="B23" s="66" t="n">
        <v>38.56</v>
      </c>
      <c r="C23" s="67">
        <f>myParidad('Flujo de Fondos'!$B$5,A23,B23,'Flujo de Fondos'!$B$7,'Flujo de Fondos'!$B$6)</f>
        <v/>
      </c>
      <c r="D23" s="66" t="n">
        <v>40.9</v>
      </c>
      <c r="E23" s="75">
        <f>myParidad('Flujo de Fondos'!$H$5,$A23,D23,'Flujo de Fondos'!$H$7,'Flujo de Fondos'!$H$6)</f>
        <v/>
      </c>
      <c r="F23" s="66" t="n">
        <v>37.36</v>
      </c>
      <c r="G23" s="67">
        <f>myParidad('Flujo de Fondos'!$N$5,$A23,F23,'Flujo de Fondos'!$N$7,'Flujo de Fondos'!$N$6)</f>
        <v/>
      </c>
      <c r="H23" s="68" t="n">
        <v>38.6</v>
      </c>
      <c r="I23" s="67">
        <f>myParidad('Flujo de Fondos'!$T$5,$A23,H23,'Flujo de Fondos'!$T$7,'Flujo de Fondos'!$T$6)</f>
        <v/>
      </c>
      <c r="J23" s="68" t="n">
        <v>34.44</v>
      </c>
      <c r="K23" s="67">
        <f>myParidad('Flujo de Fondos'!$B$34,$A23,J23,'Flujo de Fondos'!$B$36,'Flujo de Fondos'!$B$35)</f>
        <v/>
      </c>
      <c r="L23" s="66" t="n">
        <v>37.35</v>
      </c>
      <c r="M23" s="67">
        <f>myParidad('Flujo de Fondos'!$H$34,'Paridad usd'!$A23,'Paridad usd'!L23,'Flujo de Fondos'!$H$36,'Flujo de Fondos'!$H$35)</f>
        <v/>
      </c>
      <c r="N23" s="68" t="n">
        <v>37.95</v>
      </c>
      <c r="O23" s="67">
        <f>myParidad('Flujo de Fondos'!$N$34,$A23,N23,'Flujo de Fondos'!$N$36,'Flujo de Fondos'!$N$35)</f>
        <v/>
      </c>
      <c r="P23" s="67">
        <f>C23-G23</f>
        <v/>
      </c>
      <c r="Q23" s="67">
        <f>E23-C23</f>
        <v/>
      </c>
      <c r="R23" s="67">
        <f>C23-M23</f>
        <v/>
      </c>
      <c r="S23" s="67">
        <f>C23-O23</f>
        <v/>
      </c>
      <c r="T23" s="67">
        <f>E23-O23</f>
        <v/>
      </c>
      <c r="U23" s="67">
        <f>G23-O23</f>
        <v/>
      </c>
      <c r="V23" s="67">
        <f>G23-K23</f>
        <v/>
      </c>
      <c r="W23" s="67">
        <f>C23-K23</f>
        <v/>
      </c>
      <c r="X23" s="67">
        <f>I23-G23</f>
        <v/>
      </c>
      <c r="Y23" s="75">
        <f>G23-M23</f>
        <v/>
      </c>
    </row>
    <row r="24" customFormat="1" s="69">
      <c r="A24" s="65" t="n">
        <v>44462</v>
      </c>
      <c r="B24" s="66" t="n">
        <v>39.3</v>
      </c>
      <c r="C24" s="67">
        <f>myParidad('Flujo de Fondos'!$B$5,A24,B24,'Flujo de Fondos'!$B$7,'Flujo de Fondos'!$B$6)</f>
        <v/>
      </c>
      <c r="D24" s="66" t="n">
        <v>41.41</v>
      </c>
      <c r="E24" s="75">
        <f>myParidad('Flujo de Fondos'!$H$5,$A24,D24,'Flujo de Fondos'!$H$7,'Flujo de Fondos'!$H$6)</f>
        <v/>
      </c>
      <c r="F24" s="66" t="n">
        <v>37.64</v>
      </c>
      <c r="G24" s="67">
        <f>myParidad('Flujo de Fondos'!$N$5,$A24,F24,'Flujo de Fondos'!$N$7,'Flujo de Fondos'!$N$6)</f>
        <v/>
      </c>
      <c r="H24" s="68" t="n">
        <v>39.1</v>
      </c>
      <c r="I24" s="67">
        <f>myParidad('Flujo de Fondos'!$T$5,$A24,H24,'Flujo de Fondos'!$T$7,'Flujo de Fondos'!$T$6)</f>
        <v/>
      </c>
      <c r="J24" s="68" t="n">
        <v>34.55</v>
      </c>
      <c r="K24" s="67">
        <f>myParidad('Flujo de Fondos'!$B$34,$A24,J24,'Flujo de Fondos'!$B$36,'Flujo de Fondos'!$B$35)</f>
        <v/>
      </c>
      <c r="L24" s="66" t="n">
        <v>38</v>
      </c>
      <c r="M24" s="67">
        <f>myParidad('Flujo de Fondos'!$H$34,'Paridad usd'!$A24,'Paridad usd'!L24,'Flujo de Fondos'!$H$36,'Flujo de Fondos'!$H$35)</f>
        <v/>
      </c>
      <c r="N24" s="68" t="n">
        <v>37.9</v>
      </c>
      <c r="O24" s="67">
        <f>myParidad('Flujo de Fondos'!$N$34,$A24,N24,'Flujo de Fondos'!$N$36,'Flujo de Fondos'!$N$35)</f>
        <v/>
      </c>
      <c r="P24" s="67">
        <f>C24-G24</f>
        <v/>
      </c>
      <c r="Q24" s="67">
        <f>E24-C24</f>
        <v/>
      </c>
      <c r="R24" s="67">
        <f>C24-M24</f>
        <v/>
      </c>
      <c r="S24" s="67">
        <f>C24-O24</f>
        <v/>
      </c>
      <c r="T24" s="67">
        <f>E24-O24</f>
        <v/>
      </c>
      <c r="U24" s="67">
        <f>G24-O24</f>
        <v/>
      </c>
      <c r="V24" s="67">
        <f>G24-K24</f>
        <v/>
      </c>
      <c r="W24" s="67">
        <f>C24-K24</f>
        <v/>
      </c>
      <c r="X24" s="67">
        <f>I24-G24</f>
        <v/>
      </c>
      <c r="Y24" s="75">
        <f>G24-M24</f>
        <v/>
      </c>
    </row>
    <row r="25" customFormat="1" s="69">
      <c r="A25" s="65" t="n">
        <v>44461</v>
      </c>
      <c r="B25" s="66" t="n">
        <v>39.6</v>
      </c>
      <c r="C25" s="67">
        <f>myParidad('Flujo de Fondos'!$B$5,A25,B25,'Flujo de Fondos'!$B$7,'Flujo de Fondos'!$B$6)</f>
        <v/>
      </c>
      <c r="D25" s="66" t="n">
        <v>41.5</v>
      </c>
      <c r="E25" s="75">
        <f>myParidad('Flujo de Fondos'!$H$5,$A25,D25,'Flujo de Fondos'!$H$7,'Flujo de Fondos'!$H$6)</f>
        <v/>
      </c>
      <c r="F25" s="66" t="n">
        <v>37.69</v>
      </c>
      <c r="G25" s="67">
        <f>myParidad('Flujo de Fondos'!$N$5,$A25,F25,'Flujo de Fondos'!$N$7,'Flujo de Fondos'!$N$6)</f>
        <v/>
      </c>
      <c r="H25" s="68" t="n">
        <v>39.4</v>
      </c>
      <c r="I25" s="67">
        <f>myParidad('Flujo de Fondos'!$T$5,$A25,H25,'Flujo de Fondos'!$T$7,'Flujo de Fondos'!$T$6)</f>
        <v/>
      </c>
      <c r="J25" s="68" t="n">
        <v>34.25</v>
      </c>
      <c r="K25" s="67">
        <f>myParidad('Flujo de Fondos'!$B$34,$A25,J25,'Flujo de Fondos'!$B$36,'Flujo de Fondos'!$B$35)</f>
        <v/>
      </c>
      <c r="L25" s="66" t="n">
        <v>38.36</v>
      </c>
      <c r="M25" s="67">
        <f>myParidad('Flujo de Fondos'!$H$34,'Paridad usd'!$A25,'Paridad usd'!L25,'Flujo de Fondos'!$H$36,'Flujo de Fondos'!$H$35)</f>
        <v/>
      </c>
      <c r="N25" s="68" t="n">
        <v>38.2</v>
      </c>
      <c r="O25" s="67">
        <f>myParidad('Flujo de Fondos'!$N$34,$A25,N25,'Flujo de Fondos'!$N$36,'Flujo de Fondos'!$N$35)</f>
        <v/>
      </c>
      <c r="P25" s="67">
        <f>C25-G25</f>
        <v/>
      </c>
      <c r="Q25" s="67">
        <f>E25-C25</f>
        <v/>
      </c>
      <c r="R25" s="67">
        <f>C25-M25</f>
        <v/>
      </c>
      <c r="S25" s="67">
        <f>C25-O25</f>
        <v/>
      </c>
      <c r="T25" s="67">
        <f>E25-O25</f>
        <v/>
      </c>
      <c r="U25" s="67">
        <f>G25-O25</f>
        <v/>
      </c>
      <c r="V25" s="67">
        <f>G25-K25</f>
        <v/>
      </c>
      <c r="W25" s="67">
        <f>C25-K25</f>
        <v/>
      </c>
      <c r="X25" s="67">
        <f>I25-G25</f>
        <v/>
      </c>
      <c r="Y25" s="75">
        <f>G25-M25</f>
        <v/>
      </c>
    </row>
    <row r="26" customFormat="1" s="69">
      <c r="A26" s="65" t="n">
        <v>44460</v>
      </c>
      <c r="B26" s="66" t="n">
        <v>39.8</v>
      </c>
      <c r="C26" s="67">
        <f>myParidad('Flujo de Fondos'!$B$5,A26,B26,'Flujo de Fondos'!$B$7,'Flujo de Fondos'!$B$6)</f>
        <v/>
      </c>
      <c r="D26" s="66" t="n">
        <v>41.2</v>
      </c>
      <c r="E26" s="75">
        <f>myParidad('Flujo de Fondos'!$H$5,$A26,D26,'Flujo de Fondos'!$H$7,'Flujo de Fondos'!$H$6)</f>
        <v/>
      </c>
      <c r="F26" s="66" t="n">
        <v>37.76</v>
      </c>
      <c r="G26" s="67">
        <f>myParidad('Flujo de Fondos'!$N$5,$A26,F26,'Flujo de Fondos'!$N$7,'Flujo de Fondos'!$N$6)</f>
        <v/>
      </c>
      <c r="H26" s="68" t="n">
        <v>39.64</v>
      </c>
      <c r="I26" s="67">
        <f>myParidad('Flujo de Fondos'!$T$5,$A26,H26,'Flujo de Fondos'!$T$7,'Flujo de Fondos'!$T$6)</f>
        <v/>
      </c>
      <c r="J26" s="68" t="n">
        <v>35</v>
      </c>
      <c r="K26" s="67">
        <f>myParidad('Flujo de Fondos'!$B$34,$A26,J26,'Flujo de Fondos'!$B$36,'Flujo de Fondos'!$B$35)</f>
        <v/>
      </c>
      <c r="L26" s="66" t="n">
        <v>38.74</v>
      </c>
      <c r="M26" s="67">
        <f>myParidad('Flujo de Fondos'!$H$34,'Paridad usd'!$A26,'Paridad usd'!L26,'Flujo de Fondos'!$H$36,'Flujo de Fondos'!$H$35)</f>
        <v/>
      </c>
      <c r="N26" s="68" t="n">
        <v>38.5</v>
      </c>
      <c r="O26" s="67">
        <f>myParidad('Flujo de Fondos'!$N$34,$A26,N26,'Flujo de Fondos'!$N$36,'Flujo de Fondos'!$N$35)</f>
        <v/>
      </c>
      <c r="P26" s="67">
        <f>C26-G26</f>
        <v/>
      </c>
      <c r="Q26" s="67">
        <f>E26-C26</f>
        <v/>
      </c>
      <c r="R26" s="67">
        <f>C26-M26</f>
        <v/>
      </c>
      <c r="S26" s="67">
        <f>C26-O26</f>
        <v/>
      </c>
      <c r="T26" s="67">
        <f>E26-O26</f>
        <v/>
      </c>
      <c r="U26" s="67">
        <f>G26-O26</f>
        <v/>
      </c>
      <c r="V26" s="67">
        <f>G26-K26</f>
        <v/>
      </c>
      <c r="W26" s="67">
        <f>C26-K26</f>
        <v/>
      </c>
      <c r="X26" s="67">
        <f>I26-G26</f>
        <v/>
      </c>
      <c r="Y26" s="75">
        <f>G26-M26</f>
        <v/>
      </c>
    </row>
    <row r="27" customFormat="1" s="69">
      <c r="A27" s="65" t="n">
        <v>44459</v>
      </c>
      <c r="B27" s="66" t="n">
        <v>40</v>
      </c>
      <c r="C27" s="67">
        <f>myParidad('Flujo de Fondos'!$B$5,A27,B27,'Flujo de Fondos'!$B$7,'Flujo de Fondos'!$B$6)</f>
        <v/>
      </c>
      <c r="D27" s="66" t="n">
        <v>43.5</v>
      </c>
      <c r="E27" s="75">
        <f>myParidad('Flujo de Fondos'!$H$5,$A27,D27,'Flujo de Fondos'!$H$7,'Flujo de Fondos'!$H$6)</f>
        <v/>
      </c>
      <c r="F27" s="66" t="n">
        <v>37.88</v>
      </c>
      <c r="G27" s="67">
        <f>myParidad('Flujo de Fondos'!$N$5,$A27,F27,'Flujo de Fondos'!$N$7,'Flujo de Fondos'!$N$6)</f>
        <v/>
      </c>
      <c r="H27" s="68" t="n">
        <v>40.04</v>
      </c>
      <c r="I27" s="67">
        <f>myParidad('Flujo de Fondos'!$T$5,$A27,H27,'Flujo de Fondos'!$T$7,'Flujo de Fondos'!$T$6)</f>
        <v/>
      </c>
      <c r="J27" s="68" t="n">
        <v>35.15</v>
      </c>
      <c r="K27" s="67">
        <f>myParidad('Flujo de Fondos'!$B$34,$A27,J27,'Flujo de Fondos'!$B$36,'Flujo de Fondos'!$B$35)</f>
        <v/>
      </c>
      <c r="L27" s="66" t="n">
        <v>38.62</v>
      </c>
      <c r="M27" s="67">
        <f>myParidad('Flujo de Fondos'!$H$34,'Paridad usd'!$A27,'Paridad usd'!L27,'Flujo de Fondos'!$H$36,'Flujo de Fondos'!$H$35)</f>
        <v/>
      </c>
      <c r="N27" s="68" t="n">
        <v>38.5</v>
      </c>
      <c r="O27" s="67">
        <f>myParidad('Flujo de Fondos'!$N$34,$A27,N27,'Flujo de Fondos'!$N$36,'Flujo de Fondos'!$N$35)</f>
        <v/>
      </c>
      <c r="P27" s="67">
        <f>C27-G27</f>
        <v/>
      </c>
      <c r="Q27" s="67">
        <f>E27-C27</f>
        <v/>
      </c>
      <c r="R27" s="67">
        <f>C27-M27</f>
        <v/>
      </c>
      <c r="S27" s="67">
        <f>C27-O27</f>
        <v/>
      </c>
      <c r="T27" s="67">
        <f>E27-O27</f>
        <v/>
      </c>
      <c r="U27" s="67">
        <f>G27-O27</f>
        <v/>
      </c>
      <c r="V27" s="67">
        <f>G27-K27</f>
        <v/>
      </c>
      <c r="W27" s="67">
        <f>C27-K27</f>
        <v/>
      </c>
      <c r="X27" s="67">
        <f>I27-G27</f>
        <v/>
      </c>
      <c r="Y27" s="75">
        <f>G27-M27</f>
        <v/>
      </c>
    </row>
    <row r="28" customFormat="1" s="69">
      <c r="A28" s="65" t="n">
        <v>44456</v>
      </c>
      <c r="B28" s="66" t="n">
        <v>40.1</v>
      </c>
      <c r="C28" s="67">
        <f>myParidad('Flujo de Fondos'!$B$5,A28,B28,'Flujo de Fondos'!$B$7,'Flujo de Fondos'!$B$6)</f>
        <v/>
      </c>
      <c r="D28" s="66" t="n">
        <v>43.5</v>
      </c>
      <c r="E28" s="75">
        <f>myParidad('Flujo de Fondos'!$H$5,$A28,D28,'Flujo de Fondos'!$H$7,'Flujo de Fondos'!$H$6)</f>
        <v/>
      </c>
      <c r="F28" s="66" t="n">
        <v>38.1</v>
      </c>
      <c r="G28" s="67">
        <f>myParidad('Flujo de Fondos'!$N$5,$A28,F28,'Flujo de Fondos'!$N$7,'Flujo de Fondos'!$N$6)</f>
        <v/>
      </c>
      <c r="H28" s="68" t="n">
        <v>40.85</v>
      </c>
      <c r="I28" s="67">
        <f>myParidad('Flujo de Fondos'!$T$5,$A28,H28,'Flujo de Fondos'!$T$7,'Flujo de Fondos'!$T$6)</f>
        <v/>
      </c>
      <c r="J28" s="68" t="n">
        <v>35.8</v>
      </c>
      <c r="K28" s="67">
        <f>myParidad('Flujo de Fondos'!$B$34,$A28,J28,'Flujo de Fondos'!$B$36,'Flujo de Fondos'!$B$35)</f>
        <v/>
      </c>
      <c r="L28" s="66" t="n">
        <v>39.2</v>
      </c>
      <c r="M28" s="67">
        <f>myParidad('Flujo de Fondos'!$H$34,'Paridad usd'!$A28,'Paridad usd'!L28,'Flujo de Fondos'!$H$36,'Flujo de Fondos'!$H$35)</f>
        <v/>
      </c>
      <c r="N28" s="68" t="n">
        <v>39.15</v>
      </c>
      <c r="O28" s="67">
        <f>myParidad('Flujo de Fondos'!$N$34,$A28,N28,'Flujo de Fondos'!$N$36,'Flujo de Fondos'!$N$35)</f>
        <v/>
      </c>
      <c r="P28" s="67">
        <f>C28-G28</f>
        <v/>
      </c>
      <c r="Q28" s="67">
        <f>E28-C28</f>
        <v/>
      </c>
      <c r="R28" s="67">
        <f>C28-M28</f>
        <v/>
      </c>
      <c r="S28" s="67">
        <f>C28-O28</f>
        <v/>
      </c>
      <c r="T28" s="67">
        <f>E28-O28</f>
        <v/>
      </c>
      <c r="U28" s="67">
        <f>G28-O28</f>
        <v/>
      </c>
      <c r="V28" s="67">
        <f>G28-K28</f>
        <v/>
      </c>
      <c r="W28" s="67">
        <f>C28-K28</f>
        <v/>
      </c>
      <c r="X28" s="67">
        <f>I28-G28</f>
        <v/>
      </c>
      <c r="Y28" s="75">
        <f>G28-M28</f>
        <v/>
      </c>
    </row>
    <row r="29" customFormat="1" s="69">
      <c r="A29" s="65" t="n">
        <v>44455</v>
      </c>
      <c r="B29" s="66" t="n">
        <v>40.2</v>
      </c>
      <c r="C29" s="67">
        <f>myParidad('Flujo de Fondos'!$B$5,A29,B29,'Flujo de Fondos'!$B$7,'Flujo de Fondos'!$B$6)</f>
        <v/>
      </c>
      <c r="D29" s="66" t="n">
        <v>43</v>
      </c>
      <c r="E29" s="75">
        <f>myParidad('Flujo de Fondos'!$H$5,$A29,D29,'Flujo de Fondos'!$H$7,'Flujo de Fondos'!$H$6)</f>
        <v/>
      </c>
      <c r="F29" s="66" t="n">
        <v>38.18</v>
      </c>
      <c r="G29" s="67">
        <f>myParidad('Flujo de Fondos'!$N$5,$A29,F29,'Flujo de Fondos'!$N$7,'Flujo de Fondos'!$N$6)</f>
        <v/>
      </c>
      <c r="H29" s="68" t="n">
        <v>41.29</v>
      </c>
      <c r="I29" s="67">
        <f>myParidad('Flujo de Fondos'!$T$5,$A29,H29,'Flujo de Fondos'!$T$7,'Flujo de Fondos'!$T$6)</f>
        <v/>
      </c>
      <c r="J29" s="68" t="n">
        <v>35.8</v>
      </c>
      <c r="K29" s="67">
        <f>myParidad('Flujo de Fondos'!$B$34,$A29,J29,'Flujo de Fondos'!$B$36,'Flujo de Fondos'!$B$35)</f>
        <v/>
      </c>
      <c r="L29" s="66" t="n">
        <v>39.5</v>
      </c>
      <c r="M29" s="67">
        <f>myParidad('Flujo de Fondos'!$H$34,'Paridad usd'!$A29,'Paridad usd'!L29,'Flujo de Fondos'!$H$36,'Flujo de Fondos'!$H$35)</f>
        <v/>
      </c>
      <c r="N29" s="68" t="n">
        <v>39.25</v>
      </c>
      <c r="O29" s="67">
        <f>myParidad('Flujo de Fondos'!$N$34,$A29,N29,'Flujo de Fondos'!$N$36,'Flujo de Fondos'!$N$35)</f>
        <v/>
      </c>
      <c r="P29" s="67">
        <f>C29-G29</f>
        <v/>
      </c>
      <c r="Q29" s="67">
        <f>E29-C29</f>
        <v/>
      </c>
      <c r="R29" s="67">
        <f>C29-M29</f>
        <v/>
      </c>
      <c r="S29" s="67">
        <f>C29-O29</f>
        <v/>
      </c>
      <c r="T29" s="67">
        <f>E29-O29</f>
        <v/>
      </c>
      <c r="U29" s="67">
        <f>G29-O29</f>
        <v/>
      </c>
      <c r="V29" s="67">
        <f>G29-K29</f>
        <v/>
      </c>
      <c r="W29" s="67">
        <f>C29-K29</f>
        <v/>
      </c>
      <c r="X29" s="67">
        <f>I29-G29</f>
        <v/>
      </c>
      <c r="Y29" s="75">
        <f>G29-M29</f>
        <v/>
      </c>
    </row>
    <row r="30" customFormat="1" s="69">
      <c r="A30" s="65" t="n">
        <v>44454</v>
      </c>
      <c r="B30" s="66" t="n">
        <v>39.8</v>
      </c>
      <c r="C30" s="67">
        <f>myParidad('Flujo de Fondos'!$B$5,A30,B30,'Flujo de Fondos'!$B$7,'Flujo de Fondos'!$B$6)</f>
        <v/>
      </c>
      <c r="D30" s="66" t="n">
        <v>43.5</v>
      </c>
      <c r="E30" s="75">
        <f>myParidad('Flujo de Fondos'!$H$5,$A30,D30,'Flujo de Fondos'!$H$7,'Flujo de Fondos'!$H$6)</f>
        <v/>
      </c>
      <c r="F30" s="66" t="n">
        <v>38.16</v>
      </c>
      <c r="G30" s="67">
        <f>myParidad('Flujo de Fondos'!$N$5,$A30,F30,'Flujo de Fondos'!$N$7,'Flujo de Fondos'!$N$6)</f>
        <v/>
      </c>
      <c r="H30" s="68" t="n">
        <v>41.41</v>
      </c>
      <c r="I30" s="67">
        <f>myParidad('Flujo de Fondos'!$T$5,$A30,H30,'Flujo de Fondos'!$T$7,'Flujo de Fondos'!$T$6)</f>
        <v/>
      </c>
      <c r="J30" s="68" t="n">
        <v>35.6</v>
      </c>
      <c r="K30" s="67">
        <f>myParidad('Flujo de Fondos'!$B$34,$A30,J30,'Flujo de Fondos'!$B$36,'Flujo de Fondos'!$B$35)</f>
        <v/>
      </c>
      <c r="L30" s="66" t="n">
        <v>39.45</v>
      </c>
      <c r="M30" s="67">
        <f>myParidad('Flujo de Fondos'!$H$34,'Paridad usd'!$A30,'Paridad usd'!L30,'Flujo de Fondos'!$H$36,'Flujo de Fondos'!$H$35)</f>
        <v/>
      </c>
      <c r="N30" s="68" t="n">
        <v>39.3</v>
      </c>
      <c r="O30" s="67">
        <f>myParidad('Flujo de Fondos'!$N$34,$A30,N30,'Flujo de Fondos'!$N$36,'Flujo de Fondos'!$N$35)</f>
        <v/>
      </c>
      <c r="P30" s="67">
        <f>C30-G30</f>
        <v/>
      </c>
      <c r="Q30" s="67">
        <f>E30-C30</f>
        <v/>
      </c>
      <c r="R30" s="67">
        <f>C30-M30</f>
        <v/>
      </c>
      <c r="S30" s="67">
        <f>C30-O30</f>
        <v/>
      </c>
      <c r="T30" s="67">
        <f>E30-O30</f>
        <v/>
      </c>
      <c r="U30" s="67">
        <f>G30-O30</f>
        <v/>
      </c>
      <c r="V30" s="67">
        <f>G30-K30</f>
        <v/>
      </c>
      <c r="W30" s="67">
        <f>C30-K30</f>
        <v/>
      </c>
      <c r="X30" s="67">
        <f>I30-G30</f>
        <v/>
      </c>
      <c r="Y30" s="75">
        <f>G30-M30</f>
        <v/>
      </c>
    </row>
    <row r="31" customFormat="1" s="69">
      <c r="A31" s="65" t="n">
        <v>44453</v>
      </c>
      <c r="B31" s="66" t="n">
        <v>39.35</v>
      </c>
      <c r="C31" s="67">
        <f>myParidad('Flujo de Fondos'!$B$5,A31,B31,'Flujo de Fondos'!$B$7,'Flujo de Fondos'!$B$6)</f>
        <v/>
      </c>
      <c r="D31" s="66" t="n">
        <v>43</v>
      </c>
      <c r="E31" s="75">
        <f>myParidad('Flujo de Fondos'!$H$5,$A31,D31,'Flujo de Fondos'!$H$7,'Flujo de Fondos'!$H$6)</f>
        <v/>
      </c>
      <c r="F31" s="66" t="n">
        <v>38.27</v>
      </c>
      <c r="G31" s="67">
        <f>myParidad('Flujo de Fondos'!$N$5,$A31,F31,'Flujo de Fondos'!$N$7,'Flujo de Fondos'!$N$6)</f>
        <v/>
      </c>
      <c r="H31" s="68" t="n">
        <v>41.1</v>
      </c>
      <c r="I31" s="67">
        <f>myParidad('Flujo de Fondos'!$T$5,$A31,H31,'Flujo de Fondos'!$T$7,'Flujo de Fondos'!$T$6)</f>
        <v/>
      </c>
      <c r="J31" s="68" t="n">
        <v>35.62</v>
      </c>
      <c r="K31" s="67">
        <f>myParidad('Flujo de Fondos'!$B$34,$A31,J31,'Flujo de Fondos'!$B$36,'Flujo de Fondos'!$B$35)</f>
        <v/>
      </c>
      <c r="L31" s="66" t="n">
        <v>39.4</v>
      </c>
      <c r="M31" s="67">
        <f>myParidad('Flujo de Fondos'!$H$34,'Paridad usd'!$A31,'Paridad usd'!L31,'Flujo de Fondos'!$H$36,'Flujo de Fondos'!$H$35)</f>
        <v/>
      </c>
      <c r="N31" s="68" t="n">
        <v>39.4</v>
      </c>
      <c r="O31" s="67">
        <f>myParidad('Flujo de Fondos'!$N$34,$A31,N31,'Flujo de Fondos'!$N$36,'Flujo de Fondos'!$N$35)</f>
        <v/>
      </c>
      <c r="P31" s="67">
        <f>C31-G31</f>
        <v/>
      </c>
      <c r="Q31" s="67">
        <f>E31-C31</f>
        <v/>
      </c>
      <c r="R31" s="67">
        <f>C31-M31</f>
        <v/>
      </c>
      <c r="S31" s="67">
        <f>C31-O31</f>
        <v/>
      </c>
      <c r="T31" s="67">
        <f>E31-O31</f>
        <v/>
      </c>
      <c r="U31" s="67">
        <f>G31-O31</f>
        <v/>
      </c>
      <c r="V31" s="67">
        <f>G31-K31</f>
        <v/>
      </c>
      <c r="W31" s="67">
        <f>C31-K31</f>
        <v/>
      </c>
      <c r="X31" s="67">
        <f>I31-G31</f>
        <v/>
      </c>
      <c r="Y31" s="75">
        <f>G31-M31</f>
        <v/>
      </c>
    </row>
    <row r="32" customFormat="1" s="69">
      <c r="A32" s="65" t="n">
        <v>44452</v>
      </c>
      <c r="B32" s="66" t="n">
        <v>39.6</v>
      </c>
      <c r="C32" s="67">
        <f>myParidad('Flujo de Fondos'!$B$5,A32,B32,'Flujo de Fondos'!$B$7,'Flujo de Fondos'!$B$6)</f>
        <v/>
      </c>
      <c r="D32" s="66" t="n">
        <v>43.4</v>
      </c>
      <c r="E32" s="75">
        <f>myParidad('Flujo de Fondos'!$H$5,$A32,D32,'Flujo de Fondos'!$H$7,'Flujo de Fondos'!$H$6)</f>
        <v/>
      </c>
      <c r="F32" s="66" t="n">
        <v>38.43</v>
      </c>
      <c r="G32" s="67">
        <f>myParidad('Flujo de Fondos'!$N$5,$A32,F32,'Flujo de Fondos'!$N$7,'Flujo de Fondos'!$N$6)</f>
        <v/>
      </c>
      <c r="H32" s="68" t="n">
        <v>41.57</v>
      </c>
      <c r="I32" s="67">
        <f>myParidad('Flujo de Fondos'!$T$5,$A32,H32,'Flujo de Fondos'!$T$7,'Flujo de Fondos'!$T$6)</f>
        <v/>
      </c>
      <c r="J32" s="68" t="n">
        <v>35.61</v>
      </c>
      <c r="K32" s="67">
        <f>myParidad('Flujo de Fondos'!$B$34,$A32,J32,'Flujo de Fondos'!$B$36,'Flujo de Fondos'!$B$35)</f>
        <v/>
      </c>
      <c r="L32" s="66" t="n">
        <v>39.65</v>
      </c>
      <c r="M32" s="67">
        <f>myParidad('Flujo de Fondos'!$H$34,'Paridad usd'!$A32,'Paridad usd'!L32,'Flujo de Fondos'!$H$36,'Flujo de Fondos'!$H$35)</f>
        <v/>
      </c>
      <c r="N32" s="68" t="n">
        <v>39.5</v>
      </c>
      <c r="O32" s="67">
        <f>myParidad('Flujo de Fondos'!$N$34,$A32,N32,'Flujo de Fondos'!$N$36,'Flujo de Fondos'!$N$35)</f>
        <v/>
      </c>
      <c r="P32" s="67">
        <f>C32-G32</f>
        <v/>
      </c>
      <c r="Q32" s="67">
        <f>E32-C32</f>
        <v/>
      </c>
      <c r="R32" s="67">
        <f>C32-M32</f>
        <v/>
      </c>
      <c r="S32" s="67">
        <f>C32-O32</f>
        <v/>
      </c>
      <c r="T32" s="67">
        <f>E32-O32</f>
        <v/>
      </c>
      <c r="U32" s="67">
        <f>G32-O32</f>
        <v/>
      </c>
      <c r="V32" s="67">
        <f>G32-K32</f>
        <v/>
      </c>
      <c r="W32" s="67">
        <f>C32-K32</f>
        <v/>
      </c>
      <c r="X32" s="67">
        <f>I32-G32</f>
        <v/>
      </c>
      <c r="Y32" s="75">
        <f>G32-M32</f>
        <v/>
      </c>
    </row>
    <row r="33" customFormat="1" s="69">
      <c r="A33" s="65" t="n">
        <v>44449</v>
      </c>
      <c r="B33" s="66" t="n">
        <v>38.9</v>
      </c>
      <c r="C33" s="67">
        <f>myParidad('Flujo de Fondos'!$B$5,A33,B33,'Flujo de Fondos'!$B$7,'Flujo de Fondos'!$B$6)</f>
        <v/>
      </c>
      <c r="D33" s="66" t="n">
        <v>41.75</v>
      </c>
      <c r="E33" s="75">
        <f>myParidad('Flujo de Fondos'!$H$5,$A33,D33,'Flujo de Fondos'!$H$7,'Flujo de Fondos'!$H$6)</f>
        <v/>
      </c>
      <c r="F33" s="66" t="n">
        <v>37.68</v>
      </c>
      <c r="G33" s="67">
        <f>myParidad('Flujo de Fondos'!$N$5,$A33,F33,'Flujo de Fondos'!$N$7,'Flujo de Fondos'!$N$6)</f>
        <v/>
      </c>
      <c r="H33" s="68" t="n">
        <v>39.5</v>
      </c>
      <c r="I33" s="67">
        <f>myParidad('Flujo de Fondos'!$T$5,$A33,H33,'Flujo de Fondos'!$T$7,'Flujo de Fondos'!$T$6)</f>
        <v/>
      </c>
      <c r="J33" s="68" t="n">
        <v>34.51</v>
      </c>
      <c r="K33" s="67">
        <f>myParidad('Flujo de Fondos'!$B$34,$A33,J33,'Flujo de Fondos'!$B$36,'Flujo de Fondos'!$B$35)</f>
        <v/>
      </c>
      <c r="L33" s="66" t="n">
        <v>38.6</v>
      </c>
      <c r="M33" s="67">
        <f>myParidad('Flujo de Fondos'!$H$34,'Paridad usd'!$A33,'Paridad usd'!L33,'Flujo de Fondos'!$H$36,'Flujo de Fondos'!$H$35)</f>
        <v/>
      </c>
      <c r="N33" s="68" t="n">
        <v>38.95</v>
      </c>
      <c r="O33" s="67">
        <f>myParidad('Flujo de Fondos'!$N$34,$A33,N33,'Flujo de Fondos'!$N$36,'Flujo de Fondos'!$N$35)</f>
        <v/>
      </c>
      <c r="P33" s="67">
        <f>C33-G33</f>
        <v/>
      </c>
      <c r="Q33" s="67">
        <f>E33-C33</f>
        <v/>
      </c>
      <c r="R33" s="67">
        <f>C33-M33</f>
        <v/>
      </c>
      <c r="S33" s="67">
        <f>C33-O33</f>
        <v/>
      </c>
      <c r="T33" s="67">
        <f>E33-O33</f>
        <v/>
      </c>
      <c r="U33" s="67">
        <f>G33-O33</f>
        <v/>
      </c>
      <c r="V33" s="67">
        <f>G33-K33</f>
        <v/>
      </c>
      <c r="W33" s="67">
        <f>C33-K33</f>
        <v/>
      </c>
      <c r="X33" s="67">
        <f>I33-G33</f>
        <v/>
      </c>
      <c r="Y33" s="75">
        <f>G33-M33</f>
        <v/>
      </c>
    </row>
    <row r="34" customFormat="1" s="69">
      <c r="A34" s="65" t="n">
        <v>44448</v>
      </c>
      <c r="B34" s="66" t="n">
        <v>38.7</v>
      </c>
      <c r="C34" s="67">
        <f>myParidad('Flujo de Fondos'!$B$5,A34,B34,'Flujo de Fondos'!$B$7,'Flujo de Fondos'!$B$6)</f>
        <v/>
      </c>
      <c r="D34" s="66" t="n">
        <v>41.75</v>
      </c>
      <c r="E34" s="75">
        <f>myParidad('Flujo de Fondos'!$H$5,$A34,D34,'Flujo de Fondos'!$H$7,'Flujo de Fondos'!$H$6)</f>
        <v/>
      </c>
      <c r="F34" s="66" t="n">
        <v>37.74</v>
      </c>
      <c r="G34" s="67">
        <f>myParidad('Flujo de Fondos'!$N$5,$A34,F34,'Flujo de Fondos'!$N$7,'Flujo de Fondos'!$N$6)</f>
        <v/>
      </c>
      <c r="H34" s="68" t="n">
        <v>40.1</v>
      </c>
      <c r="I34" s="67">
        <f>myParidad('Flujo de Fondos'!$T$5,$A34,H34,'Flujo de Fondos'!$T$7,'Flujo de Fondos'!$T$6)</f>
        <v/>
      </c>
      <c r="J34" s="68" t="n">
        <v>35.6</v>
      </c>
      <c r="K34" s="67">
        <f>myParidad('Flujo de Fondos'!$B$34,$A34,J34,'Flujo de Fondos'!$B$36,'Flujo de Fondos'!$B$35)</f>
        <v/>
      </c>
      <c r="L34" s="66" t="n">
        <v>38.9</v>
      </c>
      <c r="M34" s="67">
        <f>myParidad('Flujo de Fondos'!$H$34,'Paridad usd'!$A34,'Paridad usd'!L34,'Flujo de Fondos'!$H$36,'Flujo de Fondos'!$H$35)</f>
        <v/>
      </c>
      <c r="N34" s="68" t="n">
        <v>38.8</v>
      </c>
      <c r="O34" s="67">
        <f>myParidad('Flujo de Fondos'!$N$34,$A34,N34,'Flujo de Fondos'!$N$36,'Flujo de Fondos'!$N$35)</f>
        <v/>
      </c>
      <c r="P34" s="67">
        <f>C34-G34</f>
        <v/>
      </c>
      <c r="Q34" s="67">
        <f>E34-C34</f>
        <v/>
      </c>
      <c r="R34" s="67">
        <f>C34-M34</f>
        <v/>
      </c>
      <c r="S34" s="67">
        <f>C34-O34</f>
        <v/>
      </c>
      <c r="T34" s="67">
        <f>E34-O34</f>
        <v/>
      </c>
      <c r="U34" s="67">
        <f>G34-O34</f>
        <v/>
      </c>
      <c r="V34" s="67">
        <f>G34-K34</f>
        <v/>
      </c>
      <c r="W34" s="67">
        <f>C34-K34</f>
        <v/>
      </c>
      <c r="X34" s="67">
        <f>I34-G34</f>
        <v/>
      </c>
      <c r="Y34" s="75">
        <f>G34-M34</f>
        <v/>
      </c>
    </row>
    <row r="35" customFormat="1" s="69">
      <c r="A35" s="65" t="n">
        <v>44447</v>
      </c>
      <c r="B35" s="66" t="n">
        <v>38.8</v>
      </c>
      <c r="C35" s="67">
        <f>myParidad('Flujo de Fondos'!$B$5,A35,B35,'Flujo de Fondos'!$B$7,'Flujo de Fondos'!$B$6)</f>
        <v/>
      </c>
      <c r="D35" s="66" t="n">
        <v>42.5</v>
      </c>
      <c r="E35" s="75">
        <f>myParidad('Flujo de Fondos'!$H$5,$A35,D35,'Flujo de Fondos'!$H$7,'Flujo de Fondos'!$H$6)</f>
        <v/>
      </c>
      <c r="F35" s="66" t="n">
        <v>37.79</v>
      </c>
      <c r="G35" s="67">
        <f>myParidad('Flujo de Fondos'!$N$5,$A35,F35,'Flujo de Fondos'!$N$7,'Flujo de Fondos'!$N$6)</f>
        <v/>
      </c>
      <c r="H35" s="68" t="n">
        <v>40.35</v>
      </c>
      <c r="I35" s="67">
        <f>myParidad('Flujo de Fondos'!$T$5,$A35,H35,'Flujo de Fondos'!$T$7,'Flujo de Fondos'!$T$6)</f>
        <v/>
      </c>
      <c r="J35" s="68" t="n">
        <v>35.87</v>
      </c>
      <c r="K35" s="67">
        <f>myParidad('Flujo de Fondos'!$B$34,$A35,J35,'Flujo de Fondos'!$B$36,'Flujo de Fondos'!$B$35)</f>
        <v/>
      </c>
      <c r="L35" s="66" t="n">
        <v>39.15</v>
      </c>
      <c r="M35" s="67">
        <f>myParidad('Flujo de Fondos'!$H$34,'Paridad usd'!$A35,'Paridad usd'!L35,'Flujo de Fondos'!$H$36,'Flujo de Fondos'!$H$35)</f>
        <v/>
      </c>
      <c r="N35" s="68" t="n">
        <v>39.05</v>
      </c>
      <c r="O35" s="67">
        <f>myParidad('Flujo de Fondos'!$N$34,$A35,N35,'Flujo de Fondos'!$N$36,'Flujo de Fondos'!$N$35)</f>
        <v/>
      </c>
      <c r="P35" s="67">
        <f>C35-G35</f>
        <v/>
      </c>
      <c r="Q35" s="67">
        <f>E35-C35</f>
        <v/>
      </c>
      <c r="R35" s="67">
        <f>C35-M35</f>
        <v/>
      </c>
      <c r="S35" s="67">
        <f>C35-O35</f>
        <v/>
      </c>
      <c r="T35" s="67">
        <f>E35-O35</f>
        <v/>
      </c>
      <c r="U35" s="67">
        <f>G35-O35</f>
        <v/>
      </c>
      <c r="V35" s="67">
        <f>G35-K35</f>
        <v/>
      </c>
      <c r="W35" s="67">
        <f>C35-K35</f>
        <v/>
      </c>
      <c r="X35" s="67">
        <f>I35-G35</f>
        <v/>
      </c>
      <c r="Y35" s="75">
        <f>G35-M35</f>
        <v/>
      </c>
    </row>
    <row r="36" customFormat="1" s="69">
      <c r="A36" s="65" t="n">
        <v>44446</v>
      </c>
      <c r="B36" s="66" t="n">
        <v>39</v>
      </c>
      <c r="C36" s="67">
        <f>myParidad('Flujo de Fondos'!$B$5,A36,B36,'Flujo de Fondos'!$B$7,'Flujo de Fondos'!$B$6)</f>
        <v/>
      </c>
      <c r="D36" s="66" t="n">
        <v>43</v>
      </c>
      <c r="E36" s="75">
        <f>myParidad('Flujo de Fondos'!$H$5,$A36,D36,'Flujo de Fondos'!$H$7,'Flujo de Fondos'!$H$6)</f>
        <v/>
      </c>
      <c r="F36" s="66" t="n">
        <v>37.85</v>
      </c>
      <c r="G36" s="67">
        <f>myParidad('Flujo de Fondos'!$N$5,$A36,F36,'Flujo de Fondos'!$N$7,'Flujo de Fondos'!$N$6)</f>
        <v/>
      </c>
      <c r="H36" s="68" t="n">
        <v>41.22</v>
      </c>
      <c r="I36" s="67">
        <f>myParidad('Flujo de Fondos'!$T$5,$A36,H36,'Flujo de Fondos'!$T$7,'Flujo de Fondos'!$T$6)</f>
        <v/>
      </c>
      <c r="J36" s="68" t="n">
        <v>36.35</v>
      </c>
      <c r="K36" s="67">
        <f>myParidad('Flujo de Fondos'!$B$34,$A36,J36,'Flujo de Fondos'!$B$36,'Flujo de Fondos'!$B$35)</f>
        <v/>
      </c>
      <c r="L36" s="66" t="n">
        <v>39.7</v>
      </c>
      <c r="M36" s="67">
        <f>myParidad('Flujo de Fondos'!$H$34,'Paridad usd'!$A36,'Paridad usd'!L36,'Flujo de Fondos'!$H$36,'Flujo de Fondos'!$H$35)</f>
        <v/>
      </c>
      <c r="N36" s="68" t="n">
        <v>39.4</v>
      </c>
      <c r="O36" s="67">
        <f>myParidad('Flujo de Fondos'!$N$34,$A36,N36,'Flujo de Fondos'!$N$36,'Flujo de Fondos'!$N$35)</f>
        <v/>
      </c>
      <c r="P36" s="67">
        <f>C36-G36</f>
        <v/>
      </c>
      <c r="Q36" s="67">
        <f>E36-C36</f>
        <v/>
      </c>
      <c r="R36" s="67">
        <f>C36-M36</f>
        <v/>
      </c>
      <c r="S36" s="67">
        <f>C36-O36</f>
        <v/>
      </c>
      <c r="T36" s="67">
        <f>E36-O36</f>
        <v/>
      </c>
      <c r="U36" s="67">
        <f>G36-O36</f>
        <v/>
      </c>
      <c r="V36" s="67">
        <f>G36-K36</f>
        <v/>
      </c>
      <c r="W36" s="67">
        <f>C36-K36</f>
        <v/>
      </c>
      <c r="X36" s="67">
        <f>I36-G36</f>
        <v/>
      </c>
      <c r="Y36" s="75">
        <f>G36-M36</f>
        <v/>
      </c>
    </row>
    <row r="37" customFormat="1" s="69">
      <c r="A37" s="65" t="n">
        <v>44445</v>
      </c>
      <c r="B37" s="66" t="n">
        <v>38.6</v>
      </c>
      <c r="C37" s="67">
        <f>myParidad('Flujo de Fondos'!$B$5,A37,B37,'Flujo de Fondos'!$B$7,'Flujo de Fondos'!$B$6)</f>
        <v/>
      </c>
      <c r="D37" s="66" t="n">
        <v>42.75</v>
      </c>
      <c r="E37" s="75">
        <f>myParidad('Flujo de Fondos'!$H$5,$A37,D37,'Flujo de Fondos'!$H$7,'Flujo de Fondos'!$H$6)</f>
        <v/>
      </c>
      <c r="F37" s="66" t="n">
        <v>37.76</v>
      </c>
      <c r="G37" s="67">
        <f>myParidad('Flujo de Fondos'!$N$5,$A37,F37,'Flujo de Fondos'!$N$7,'Flujo de Fondos'!$N$6)</f>
        <v/>
      </c>
      <c r="H37" s="68" t="n">
        <v>41.39</v>
      </c>
      <c r="I37" s="67">
        <f>myParidad('Flujo de Fondos'!$T$5,$A37,H37,'Flujo de Fondos'!$T$7,'Flujo de Fondos'!$T$6)</f>
        <v/>
      </c>
      <c r="J37" s="68" t="n">
        <v>35.95</v>
      </c>
      <c r="K37" s="67">
        <f>myParidad('Flujo de Fondos'!$B$34,$A37,J37,'Flujo de Fondos'!$B$36,'Flujo de Fondos'!$B$35)</f>
        <v/>
      </c>
      <c r="L37" s="66" t="n">
        <v>39.6</v>
      </c>
      <c r="M37" s="67">
        <f>myParidad('Flujo de Fondos'!$H$34,'Paridad usd'!$A37,'Paridad usd'!L37,'Flujo de Fondos'!$H$36,'Flujo de Fondos'!$H$35)</f>
        <v/>
      </c>
      <c r="N37" s="68" t="n">
        <v>39.35</v>
      </c>
      <c r="O37" s="67">
        <f>myParidad('Flujo de Fondos'!$N$34,$A37,N37,'Flujo de Fondos'!$N$36,'Flujo de Fondos'!$N$35)</f>
        <v/>
      </c>
      <c r="P37" s="67">
        <f>C37-G37</f>
        <v/>
      </c>
      <c r="Q37" s="67">
        <f>E37-C37</f>
        <v/>
      </c>
      <c r="R37" s="67">
        <f>C37-M37</f>
        <v/>
      </c>
      <c r="S37" s="67">
        <f>C37-O37</f>
        <v/>
      </c>
      <c r="T37" s="67">
        <f>E37-O37</f>
        <v/>
      </c>
      <c r="U37" s="67">
        <f>G37-O37</f>
        <v/>
      </c>
      <c r="V37" s="67">
        <f>G37-K37</f>
        <v/>
      </c>
      <c r="W37" s="67">
        <f>C37-K37</f>
        <v/>
      </c>
      <c r="X37" s="67">
        <f>I37-G37</f>
        <v/>
      </c>
      <c r="Y37" s="75">
        <f>G37-M37</f>
        <v/>
      </c>
    </row>
    <row r="38" customFormat="1" s="69">
      <c r="A38" s="65" t="n">
        <v>44442</v>
      </c>
      <c r="B38" s="66" t="n">
        <v>38.5</v>
      </c>
      <c r="C38" s="67">
        <f>myParidad('Flujo de Fondos'!$B$5,A38,B38,'Flujo de Fondos'!$B$7,'Flujo de Fondos'!$B$6)</f>
        <v/>
      </c>
      <c r="D38" s="66" t="n">
        <v>42.25</v>
      </c>
      <c r="E38" s="75">
        <f>myParidad('Flujo de Fondos'!$H$5,$A38,D38,'Flujo de Fondos'!$H$7,'Flujo de Fondos'!$H$6)</f>
        <v/>
      </c>
      <c r="F38" s="66" t="n">
        <v>37.62</v>
      </c>
      <c r="G38" s="67">
        <f>myParidad('Flujo de Fondos'!$N$5,$A38,F38,'Flujo de Fondos'!$N$7,'Flujo de Fondos'!$N$6)</f>
        <v/>
      </c>
      <c r="H38" s="68" t="n">
        <v>40.92</v>
      </c>
      <c r="I38" s="67">
        <f>myParidad('Flujo de Fondos'!$T$5,$A38,H38,'Flujo de Fondos'!$T$7,'Flujo de Fondos'!$T$6)</f>
        <v/>
      </c>
      <c r="J38" s="68" t="n">
        <v>35.7</v>
      </c>
      <c r="K38" s="67">
        <f>myParidad('Flujo de Fondos'!$B$34,$A38,J38,'Flujo de Fondos'!$B$36,'Flujo de Fondos'!$B$35)</f>
        <v/>
      </c>
      <c r="L38" s="66" t="n">
        <v>39.25</v>
      </c>
      <c r="M38" s="67">
        <f>myParidad('Flujo de Fondos'!$H$34,'Paridad usd'!$A38,'Paridad usd'!L38,'Flujo de Fondos'!$H$36,'Flujo de Fondos'!$H$35)</f>
        <v/>
      </c>
      <c r="N38" s="68" t="n">
        <v>39.25</v>
      </c>
      <c r="O38" s="67">
        <f>myParidad('Flujo de Fondos'!$N$34,$A38,N38,'Flujo de Fondos'!$N$36,'Flujo de Fondos'!$N$35)</f>
        <v/>
      </c>
      <c r="P38" s="67">
        <f>C38-G38</f>
        <v/>
      </c>
      <c r="Q38" s="67">
        <f>E38-C38</f>
        <v/>
      </c>
      <c r="R38" s="67">
        <f>C38-M38</f>
        <v/>
      </c>
      <c r="S38" s="67">
        <f>C38-O38</f>
        <v/>
      </c>
      <c r="T38" s="67">
        <f>E38-O38</f>
        <v/>
      </c>
      <c r="U38" s="67">
        <f>G38-O38</f>
        <v/>
      </c>
      <c r="V38" s="67">
        <f>G38-K38</f>
        <v/>
      </c>
      <c r="W38" s="67">
        <f>C38-K38</f>
        <v/>
      </c>
      <c r="X38" s="67">
        <f>I38-G38</f>
        <v/>
      </c>
      <c r="Y38" s="75">
        <f>G38-M38</f>
        <v/>
      </c>
    </row>
    <row r="39">
      <c r="A39" s="65" t="n">
        <v>44441</v>
      </c>
      <c r="B39" s="66" t="n">
        <v>38.4</v>
      </c>
      <c r="C39" s="67">
        <f>myParidad('Flujo de Fondos'!$B$5,A39,B39,'Flujo de Fondos'!$B$7,'Flujo de Fondos'!$B$6)</f>
        <v/>
      </c>
      <c r="D39" s="66" t="n">
        <v>43.4</v>
      </c>
      <c r="E39" s="75">
        <f>myParidad('Flujo de Fondos'!$H$5,$A39,D39,'Flujo de Fondos'!$H$7,'Flujo de Fondos'!$H$6)</f>
        <v/>
      </c>
      <c r="F39" s="66" t="n">
        <v>37.46</v>
      </c>
      <c r="G39" s="67">
        <f>myParidad('Flujo de Fondos'!$N$5,$A39,F39,'Flujo de Fondos'!$N$7,'Flujo de Fondos'!$N$6)</f>
        <v/>
      </c>
      <c r="H39" s="68" t="n">
        <v>40.95</v>
      </c>
      <c r="I39" s="67">
        <f>myParidad('Flujo de Fondos'!$T$5,$A39,H39,'Flujo de Fondos'!$T$7,'Flujo de Fondos'!$T$6)</f>
        <v/>
      </c>
      <c r="J39" s="68" t="n">
        <v>35.8</v>
      </c>
      <c r="K39" s="67">
        <f>myParidad('Flujo de Fondos'!$B$34,$A39,J39,'Flujo de Fondos'!$B$36,'Flujo de Fondos'!$B$35)</f>
        <v/>
      </c>
      <c r="L39" s="66" t="n">
        <v>39.4</v>
      </c>
      <c r="M39" s="67">
        <f>myParidad('Flujo de Fondos'!$H$34,'Paridad usd'!$A39,'Paridad usd'!L39,'Flujo de Fondos'!$H$36,'Flujo de Fondos'!$H$35)</f>
        <v/>
      </c>
      <c r="N39" s="68" t="n">
        <v>39.2</v>
      </c>
      <c r="O39" s="67">
        <f>myParidad('Flujo de Fondos'!$N$34,$A39,N39,'Flujo de Fondos'!$N$36,'Flujo de Fondos'!$N$35)</f>
        <v/>
      </c>
      <c r="P39" s="67">
        <f>C39-G39</f>
        <v/>
      </c>
      <c r="Q39" s="67">
        <f>E39-C39</f>
        <v/>
      </c>
      <c r="R39" s="67">
        <f>C39-M39</f>
        <v/>
      </c>
      <c r="S39" s="67">
        <f>C39-O39</f>
        <v/>
      </c>
      <c r="T39" s="67">
        <f>E39-O39</f>
        <v/>
      </c>
      <c r="U39" s="67">
        <f>G39-O39</f>
        <v/>
      </c>
      <c r="V39" s="67">
        <f>G39-K39</f>
        <v/>
      </c>
      <c r="W39" s="67">
        <f>C39-K39</f>
        <v/>
      </c>
      <c r="X39" s="67">
        <f>I39-G39</f>
        <v/>
      </c>
      <c r="Y39" s="75">
        <f>G39-M39</f>
        <v/>
      </c>
    </row>
    <row r="40">
      <c r="A40" s="65" t="n">
        <v>44440</v>
      </c>
      <c r="B40" s="66" t="n">
        <v>37.94</v>
      </c>
      <c r="C40" s="67">
        <f>myParidad('Flujo de Fondos'!$B$5,A40,B40,'Flujo de Fondos'!$B$7,'Flujo de Fondos'!$B$6)</f>
        <v/>
      </c>
      <c r="D40" s="66" t="n">
        <v>42.5</v>
      </c>
      <c r="E40" s="75">
        <f>myParidad('Flujo de Fondos'!$H$5,$A40,D40,'Flujo de Fondos'!$H$7,'Flujo de Fondos'!$H$6)</f>
        <v/>
      </c>
      <c r="F40" s="66" t="n">
        <v>36.88</v>
      </c>
      <c r="G40" s="67">
        <f>myParidad('Flujo de Fondos'!$N$5,$A40,F40,'Flujo de Fondos'!$N$7,'Flujo de Fondos'!$N$6)</f>
        <v/>
      </c>
      <c r="H40" s="68" t="n">
        <v>40.68</v>
      </c>
      <c r="I40" s="67">
        <f>myParidad('Flujo de Fondos'!$T$5,$A40,H40,'Flujo de Fondos'!$T$7,'Flujo de Fondos'!$T$6)</f>
        <v/>
      </c>
      <c r="J40" s="68" t="n">
        <v>35.6</v>
      </c>
      <c r="K40" s="67">
        <f>myParidad('Flujo de Fondos'!$B$34,$A40,J40,'Flujo de Fondos'!$B$36,'Flujo de Fondos'!$B$35)</f>
        <v/>
      </c>
      <c r="L40" s="66" t="n">
        <v>38.7</v>
      </c>
      <c r="M40" s="67">
        <f>myParidad('Flujo de Fondos'!$H$34,'Paridad usd'!$A40,'Paridad usd'!L40,'Flujo de Fondos'!$H$36,'Flujo de Fondos'!$H$35)</f>
        <v/>
      </c>
      <c r="N40" s="68" t="n">
        <v>38.6</v>
      </c>
      <c r="O40" s="67">
        <f>myParidad('Flujo de Fondos'!$N$34,$A40,N40,'Flujo de Fondos'!$N$36,'Flujo de Fondos'!$N$35)</f>
        <v/>
      </c>
      <c r="P40" s="67">
        <f>C40-G40</f>
        <v/>
      </c>
      <c r="Q40" s="67">
        <f>E40-C40</f>
        <v/>
      </c>
      <c r="R40" s="67">
        <f>C40-M40</f>
        <v/>
      </c>
      <c r="S40" s="67">
        <f>C40-O40</f>
        <v/>
      </c>
      <c r="T40" s="67">
        <f>E40-O40</f>
        <v/>
      </c>
      <c r="U40" s="67">
        <f>G40-O40</f>
        <v/>
      </c>
      <c r="V40" s="67">
        <f>G40-K40</f>
        <v/>
      </c>
      <c r="W40" s="67">
        <f>C40-K40</f>
        <v/>
      </c>
      <c r="X40" s="67">
        <f>I40-G40</f>
        <v/>
      </c>
      <c r="Y40" s="75">
        <f>G40-M40</f>
        <v/>
      </c>
    </row>
    <row r="41">
      <c r="A41" s="65" t="n">
        <v>44439</v>
      </c>
      <c r="B41" s="66" t="n">
        <v>37.57</v>
      </c>
      <c r="C41" s="67">
        <f>myParidad('Flujo de Fondos'!$B$5,A41,B41,'Flujo de Fondos'!$B$7,'Flujo de Fondos'!$B$6)</f>
        <v/>
      </c>
      <c r="D41" s="66" t="n">
        <v>42.1</v>
      </c>
      <c r="E41" s="75">
        <f>myParidad('Flujo de Fondos'!$H$5,$A41,D41,'Flujo de Fondos'!$H$7,'Flujo de Fondos'!$H$6)</f>
        <v/>
      </c>
      <c r="F41" s="66" t="n">
        <v>36.31</v>
      </c>
      <c r="G41" s="67">
        <f>myParidad('Flujo de Fondos'!$N$5,$A41,F41,'Flujo de Fondos'!$N$7,'Flujo de Fondos'!$N$6)</f>
        <v/>
      </c>
      <c r="H41" s="68" t="n">
        <v>40.32</v>
      </c>
      <c r="I41" s="67">
        <f>myParidad('Flujo de Fondos'!$T$5,$A41,H41,'Flujo de Fondos'!$T$7,'Flujo de Fondos'!$T$6)</f>
        <v/>
      </c>
      <c r="J41" s="68" t="n">
        <v>35</v>
      </c>
      <c r="K41" s="67">
        <f>myParidad('Flujo de Fondos'!$B$34,$A41,J41,'Flujo de Fondos'!$B$36,'Flujo de Fondos'!$B$35)</f>
        <v/>
      </c>
      <c r="L41" s="66" t="n">
        <v>38.45</v>
      </c>
      <c r="M41" s="67">
        <f>myParidad('Flujo de Fondos'!$H$34,'Paridad usd'!$A41,'Paridad usd'!L41,'Flujo de Fondos'!$H$36,'Flujo de Fondos'!$H$35)</f>
        <v/>
      </c>
      <c r="N41" s="68" t="n">
        <v>38.4</v>
      </c>
      <c r="O41" s="67">
        <f>myParidad('Flujo de Fondos'!$N$34,$A41,N41,'Flujo de Fondos'!$N$36,'Flujo de Fondos'!$N$35)</f>
        <v/>
      </c>
      <c r="P41" s="67">
        <f>C41-G41</f>
        <v/>
      </c>
      <c r="Q41" s="67">
        <f>E41-C41</f>
        <v/>
      </c>
      <c r="R41" s="67">
        <f>C41-M41</f>
        <v/>
      </c>
      <c r="S41" s="67">
        <f>C41-O41</f>
        <v/>
      </c>
      <c r="T41" s="67">
        <f>E41-O41</f>
        <v/>
      </c>
      <c r="U41" s="67">
        <f>G41-O41</f>
        <v/>
      </c>
      <c r="V41" s="67">
        <f>G41-K41</f>
        <v/>
      </c>
      <c r="W41" s="67">
        <f>C41-K41</f>
        <v/>
      </c>
      <c r="X41" s="67">
        <f>I41-G41</f>
        <v/>
      </c>
      <c r="Y41" s="75">
        <f>G41-M41</f>
        <v/>
      </c>
    </row>
    <row r="42">
      <c r="A42" s="65" t="n">
        <v>44438</v>
      </c>
      <c r="B42" s="66" t="n">
        <v>37.26</v>
      </c>
      <c r="C42" s="67">
        <f>myParidad('Flujo de Fondos'!$B$5,A42,B42,'Flujo de Fondos'!$B$7,'Flujo de Fondos'!$B$6)</f>
        <v/>
      </c>
      <c r="D42" s="66" t="n">
        <v>42.5</v>
      </c>
      <c r="E42" s="75">
        <f>myParidad('Flujo de Fondos'!$H$5,$A42,D42,'Flujo de Fondos'!$H$7,'Flujo de Fondos'!$H$6)</f>
        <v/>
      </c>
      <c r="F42" s="66" t="n">
        <v>36.01</v>
      </c>
      <c r="G42" s="67">
        <f>myParidad('Flujo de Fondos'!$N$5,$A42,F42,'Flujo de Fondos'!$N$7,'Flujo de Fondos'!$N$6)</f>
        <v/>
      </c>
      <c r="H42" s="68" t="n">
        <v>40.2</v>
      </c>
      <c r="I42" s="67">
        <f>myParidad('Flujo de Fondos'!$T$5,$A42,H42,'Flujo de Fondos'!$T$7,'Flujo de Fondos'!$T$6)</f>
        <v/>
      </c>
      <c r="J42" s="68" t="n">
        <v>35</v>
      </c>
      <c r="K42" s="67">
        <f>myParidad('Flujo de Fondos'!$B$34,$A42,J42,'Flujo de Fondos'!$B$36,'Flujo de Fondos'!$B$35)</f>
        <v/>
      </c>
      <c r="L42" s="66" t="n">
        <v>38.4</v>
      </c>
      <c r="M42" s="67">
        <f>myParidad('Flujo de Fondos'!$H$34,'Paridad usd'!$A42,'Paridad usd'!L42,'Flujo de Fondos'!$H$36,'Flujo de Fondos'!$H$35)</f>
        <v/>
      </c>
      <c r="N42" s="68" t="n">
        <v>38.2</v>
      </c>
      <c r="O42" s="67">
        <f>myParidad('Flujo de Fondos'!$N$34,$A42,N42,'Flujo de Fondos'!$N$36,'Flujo de Fondos'!$N$35)</f>
        <v/>
      </c>
      <c r="P42" s="67">
        <f>C42-G42</f>
        <v/>
      </c>
      <c r="Q42" s="67">
        <f>E42-C42</f>
        <v/>
      </c>
      <c r="R42" s="67">
        <f>C42-M42</f>
        <v/>
      </c>
      <c r="S42" s="67">
        <f>C42-O42</f>
        <v/>
      </c>
      <c r="T42" s="67">
        <f>E42-O42</f>
        <v/>
      </c>
      <c r="U42" s="67">
        <f>G42-O42</f>
        <v/>
      </c>
      <c r="V42" s="67">
        <f>G42-K42</f>
        <v/>
      </c>
      <c r="W42" s="67">
        <f>C42-K42</f>
        <v/>
      </c>
      <c r="X42" s="67">
        <f>I42-G42</f>
        <v/>
      </c>
      <c r="Y42" s="75">
        <f>G42-M42</f>
        <v/>
      </c>
    </row>
    <row r="43">
      <c r="A43" s="65" t="n">
        <v>44435</v>
      </c>
      <c r="B43" s="66" t="n">
        <v>36.7</v>
      </c>
      <c r="C43" s="67">
        <f>myParidad('Flujo de Fondos'!$B$5,A43,B43,'Flujo de Fondos'!$B$7,'Flujo de Fondos'!$B$6)</f>
        <v/>
      </c>
      <c r="D43" s="66" t="n">
        <v>42.1</v>
      </c>
      <c r="E43" s="75">
        <f>myParidad('Flujo de Fondos'!$H$5,$A43,D43,'Flujo de Fondos'!$H$7,'Flujo de Fondos'!$H$6)</f>
        <v/>
      </c>
      <c r="F43" s="66" t="n">
        <v>35.63</v>
      </c>
      <c r="G43" s="67">
        <f>myParidad('Flujo de Fondos'!$N$5,$A43,F43,'Flujo de Fondos'!$N$7,'Flujo de Fondos'!$N$6)</f>
        <v/>
      </c>
      <c r="H43" s="68" t="n">
        <v>39.6</v>
      </c>
      <c r="I43" s="67">
        <f>myParidad('Flujo de Fondos'!$T$5,$A43,H43,'Flujo de Fondos'!$T$7,'Flujo de Fondos'!$T$6)</f>
        <v/>
      </c>
      <c r="J43" s="68" t="n">
        <v>34.13</v>
      </c>
      <c r="K43" s="67">
        <f>myParidad('Flujo de Fondos'!$B$34,$A43,J43,'Flujo de Fondos'!$B$36,'Flujo de Fondos'!$B$35)</f>
        <v/>
      </c>
      <c r="L43" s="66" t="n">
        <v>37.8</v>
      </c>
      <c r="M43" s="67">
        <f>myParidad('Flujo de Fondos'!$H$34,'Paridad usd'!$A43,'Paridad usd'!L43,'Flujo de Fondos'!$H$36,'Flujo de Fondos'!$H$35)</f>
        <v/>
      </c>
      <c r="N43" s="68" t="n">
        <v>37.38</v>
      </c>
      <c r="O43" s="67">
        <f>myParidad('Flujo de Fondos'!$N$34,$A43,N43,'Flujo de Fondos'!$N$36,'Flujo de Fondos'!$N$35)</f>
        <v/>
      </c>
      <c r="P43" s="67">
        <f>C43-G43</f>
        <v/>
      </c>
      <c r="Q43" s="67">
        <f>E43-C43</f>
        <v/>
      </c>
      <c r="R43" s="67">
        <f>C43-M43</f>
        <v/>
      </c>
      <c r="S43" s="67">
        <f>C43-O43</f>
        <v/>
      </c>
      <c r="T43" s="67">
        <f>E43-O43</f>
        <v/>
      </c>
      <c r="U43" s="67">
        <f>G43-O43</f>
        <v/>
      </c>
      <c r="V43" s="67">
        <f>G43-K43</f>
        <v/>
      </c>
      <c r="W43" s="67">
        <f>C43-K43</f>
        <v/>
      </c>
      <c r="X43" s="67">
        <f>I43-G43</f>
        <v/>
      </c>
      <c r="Y43" s="75">
        <f>G43-M43</f>
        <v/>
      </c>
    </row>
    <row r="44">
      <c r="A44" s="65" t="n">
        <v>44434</v>
      </c>
      <c r="B44" s="66" t="n">
        <v>36.58</v>
      </c>
      <c r="C44" s="67">
        <f>myParidad('Flujo de Fondos'!$B$5,A44,B44,'Flujo de Fondos'!$B$7,'Flujo de Fondos'!$B$6)</f>
        <v/>
      </c>
      <c r="D44" s="66" t="n">
        <v>41.7</v>
      </c>
      <c r="E44" s="75">
        <f>myParidad('Flujo de Fondos'!$H$5,$A44,D44,'Flujo de Fondos'!$H$7,'Flujo de Fondos'!$H$6)</f>
        <v/>
      </c>
      <c r="F44" s="66" t="n">
        <v>35.42</v>
      </c>
      <c r="G44" s="67">
        <f>myParidad('Flujo de Fondos'!$N$5,$A44,F44,'Flujo de Fondos'!$N$7,'Flujo de Fondos'!$N$6)</f>
        <v/>
      </c>
      <c r="H44" s="68" t="n">
        <v>39.3</v>
      </c>
      <c r="I44" s="67">
        <f>myParidad('Flujo de Fondos'!$T$5,$A44,H44,'Flujo de Fondos'!$T$7,'Flujo de Fondos'!$T$6)</f>
        <v/>
      </c>
      <c r="J44" s="68" t="n">
        <v>34</v>
      </c>
      <c r="K44" s="67">
        <f>myParidad('Flujo de Fondos'!$B$34,$A44,J44,'Flujo de Fondos'!$B$36,'Flujo de Fondos'!$B$35)</f>
        <v/>
      </c>
      <c r="L44" s="66" t="n">
        <v>37.5</v>
      </c>
      <c r="M44" s="67">
        <f>myParidad('Flujo de Fondos'!$H$34,'Paridad usd'!$A44,'Paridad usd'!L44,'Flujo de Fondos'!$H$36,'Flujo de Fondos'!$H$35)</f>
        <v/>
      </c>
      <c r="N44" s="68" t="n">
        <v>37.1</v>
      </c>
      <c r="O44" s="67">
        <f>myParidad('Flujo de Fondos'!$N$34,$A44,N44,'Flujo de Fondos'!$N$36,'Flujo de Fondos'!$N$35)</f>
        <v/>
      </c>
      <c r="P44" s="67">
        <f>C44-G44</f>
        <v/>
      </c>
      <c r="Q44" s="67">
        <f>E44-C44</f>
        <v/>
      </c>
      <c r="R44" s="67">
        <f>C44-M44</f>
        <v/>
      </c>
      <c r="S44" s="67">
        <f>C44-O44</f>
        <v/>
      </c>
      <c r="T44" s="67">
        <f>E44-O44</f>
        <v/>
      </c>
      <c r="U44" s="67">
        <f>G44-O44</f>
        <v/>
      </c>
      <c r="V44" s="67">
        <f>G44-K44</f>
        <v/>
      </c>
      <c r="W44" s="67">
        <f>C44-K44</f>
        <v/>
      </c>
      <c r="X44" s="67">
        <f>I44-G44</f>
        <v/>
      </c>
      <c r="Y44" s="75">
        <f>G44-M44</f>
        <v/>
      </c>
    </row>
    <row r="45">
      <c r="A45" s="65" t="n">
        <v>44433</v>
      </c>
      <c r="B45" s="66" t="n">
        <v>36.7</v>
      </c>
      <c r="C45" s="67">
        <f>myParidad('Flujo de Fondos'!$B$5,A45,B45,'Flujo de Fondos'!$B$7,'Flujo de Fondos'!$B$6)</f>
        <v/>
      </c>
      <c r="D45" s="66" t="n">
        <v>41.4</v>
      </c>
      <c r="E45" s="75">
        <f>myParidad('Flujo de Fondos'!$H$5,$A45,D45,'Flujo de Fondos'!$H$7,'Flujo de Fondos'!$H$6)</f>
        <v/>
      </c>
      <c r="F45" s="66" t="n">
        <v>35.37</v>
      </c>
      <c r="G45" s="67">
        <f>myParidad('Flujo de Fondos'!$N$5,$A45,F45,'Flujo de Fondos'!$N$7,'Flujo de Fondos'!$N$6)</f>
        <v/>
      </c>
      <c r="H45" s="68" t="n">
        <v>39.49</v>
      </c>
      <c r="I45" s="67">
        <f>myParidad('Flujo de Fondos'!$T$5,$A45,H45,'Flujo de Fondos'!$T$7,'Flujo de Fondos'!$T$6)</f>
        <v/>
      </c>
      <c r="J45" s="68" t="n">
        <v>33.5</v>
      </c>
      <c r="K45" s="67">
        <f>myParidad('Flujo de Fondos'!$B$34,$A45,J45,'Flujo de Fondos'!$B$36,'Flujo de Fondos'!$B$35)</f>
        <v/>
      </c>
      <c r="L45" s="66" t="n">
        <v>37.67</v>
      </c>
      <c r="M45" s="67">
        <f>myParidad('Flujo de Fondos'!$H$34,'Paridad usd'!$A45,'Paridad usd'!L45,'Flujo de Fondos'!$H$36,'Flujo de Fondos'!$H$35)</f>
        <v/>
      </c>
      <c r="N45" s="68" t="n">
        <v>37.15</v>
      </c>
      <c r="O45" s="67">
        <f>myParidad('Flujo de Fondos'!$N$34,$A45,N45,'Flujo de Fondos'!$N$36,'Flujo de Fondos'!$N$35)</f>
        <v/>
      </c>
      <c r="P45" s="67">
        <f>C45-G45</f>
        <v/>
      </c>
      <c r="Q45" s="67">
        <f>E45-C45</f>
        <v/>
      </c>
      <c r="R45" s="67">
        <f>C45-M45</f>
        <v/>
      </c>
      <c r="S45" s="67">
        <f>C45-O45</f>
        <v/>
      </c>
      <c r="T45" s="67">
        <f>E45-O45</f>
        <v/>
      </c>
      <c r="U45" s="67">
        <f>G45-O45</f>
        <v/>
      </c>
      <c r="V45" s="67">
        <f>G45-K45</f>
        <v/>
      </c>
      <c r="W45" s="67">
        <f>C45-K45</f>
        <v/>
      </c>
      <c r="X45" s="67">
        <f>I45-G45</f>
        <v/>
      </c>
      <c r="Y45" s="75">
        <f>G45-M45</f>
        <v/>
      </c>
    </row>
    <row r="46">
      <c r="A46" s="65" t="n">
        <v>44432</v>
      </c>
      <c r="B46" s="66" t="n">
        <v>36.7</v>
      </c>
      <c r="C46" s="67">
        <f>myParidad('Flujo de Fondos'!$B$5,A46,B46,'Flujo de Fondos'!$B$7,'Flujo de Fondos'!$B$6)</f>
        <v/>
      </c>
      <c r="D46" s="66" t="n">
        <v>41</v>
      </c>
      <c r="E46" s="75">
        <f>myParidad('Flujo de Fondos'!$H$5,$A46,D46,'Flujo de Fondos'!$H$7,'Flujo de Fondos'!$H$6)</f>
        <v/>
      </c>
      <c r="F46" s="66" t="n">
        <v>35.39</v>
      </c>
      <c r="G46" s="67">
        <f>myParidad('Flujo de Fondos'!$N$5,$A46,F46,'Flujo de Fondos'!$N$7,'Flujo de Fondos'!$N$6)</f>
        <v/>
      </c>
      <c r="H46" s="68" t="n">
        <v>39.59</v>
      </c>
      <c r="I46" s="67">
        <f>myParidad('Flujo de Fondos'!$T$5,$A46,H46,'Flujo de Fondos'!$T$7,'Flujo de Fondos'!$T$6)</f>
        <v/>
      </c>
      <c r="J46" s="68" t="n">
        <v>33.8</v>
      </c>
      <c r="K46" s="67">
        <f>myParidad('Flujo de Fondos'!$B$34,$A46,J46,'Flujo de Fondos'!$B$36,'Flujo de Fondos'!$B$35)</f>
        <v/>
      </c>
      <c r="L46" s="66" t="n">
        <v>37.75</v>
      </c>
      <c r="M46" s="67">
        <f>myParidad('Flujo de Fondos'!$H$34,'Paridad usd'!$A46,'Paridad usd'!L46,'Flujo de Fondos'!$H$36,'Flujo de Fondos'!$H$35)</f>
        <v/>
      </c>
      <c r="N46" s="68" t="n">
        <v>37.15</v>
      </c>
      <c r="O46" s="67">
        <f>myParidad('Flujo de Fondos'!$N$34,$A46,N46,'Flujo de Fondos'!$N$36,'Flujo de Fondos'!$N$35)</f>
        <v/>
      </c>
      <c r="P46" s="67">
        <f>C46-G46</f>
        <v/>
      </c>
      <c r="Q46" s="67">
        <f>E46-C46</f>
        <v/>
      </c>
      <c r="R46" s="67">
        <f>C46-M46</f>
        <v/>
      </c>
      <c r="S46" s="67">
        <f>C46-O46</f>
        <v/>
      </c>
      <c r="T46" s="67">
        <f>E46-O46</f>
        <v/>
      </c>
      <c r="U46" s="67">
        <f>G46-O46</f>
        <v/>
      </c>
      <c r="V46" s="67">
        <f>G46-K46</f>
        <v/>
      </c>
      <c r="W46" s="67">
        <f>C46-K46</f>
        <v/>
      </c>
      <c r="X46" s="67">
        <f>I46-G46</f>
        <v/>
      </c>
      <c r="Y46" s="75">
        <f>G46-M46</f>
        <v/>
      </c>
    </row>
    <row r="47">
      <c r="A47" s="65" t="n">
        <v>44431</v>
      </c>
      <c r="B47" s="66" t="n">
        <v>36.45</v>
      </c>
      <c r="C47" s="67">
        <f>myParidad('Flujo de Fondos'!$B$5,A47,B47,'Flujo de Fondos'!$B$7,'Flujo de Fondos'!$B$6)</f>
        <v/>
      </c>
      <c r="D47" s="66" t="n">
        <v>40</v>
      </c>
      <c r="E47" s="75">
        <f>myParidad('Flujo de Fondos'!$H$5,$A47,D47,'Flujo de Fondos'!$H$7,'Flujo de Fondos'!$H$6)</f>
        <v/>
      </c>
      <c r="F47" s="66" t="n">
        <v>35.26</v>
      </c>
      <c r="G47" s="67">
        <f>myParidad('Flujo de Fondos'!$N$5,$A47,F47,'Flujo de Fondos'!$N$7,'Flujo de Fondos'!$N$6)</f>
        <v/>
      </c>
      <c r="H47" s="68" t="n">
        <v>38.75</v>
      </c>
      <c r="I47" s="67">
        <f>myParidad('Flujo de Fondos'!$T$5,$A47,H47,'Flujo de Fondos'!$T$7,'Flujo de Fondos'!$T$6)</f>
        <v/>
      </c>
      <c r="J47" s="68" t="n">
        <v>32.9</v>
      </c>
      <c r="K47" s="67">
        <f>myParidad('Flujo de Fondos'!$B$34,$A47,J47,'Flujo de Fondos'!$B$36,'Flujo de Fondos'!$B$35)</f>
        <v/>
      </c>
      <c r="L47" s="66" t="n">
        <v>37.4</v>
      </c>
      <c r="M47" s="67">
        <f>myParidad('Flujo de Fondos'!$H$34,'Paridad usd'!$A47,'Paridad usd'!L47,'Flujo de Fondos'!$H$36,'Flujo de Fondos'!$H$35)</f>
        <v/>
      </c>
      <c r="N47" s="68" t="n">
        <v>37</v>
      </c>
      <c r="O47" s="67">
        <f>myParidad('Flujo de Fondos'!$N$34,$A47,N47,'Flujo de Fondos'!$N$36,'Flujo de Fondos'!$N$35)</f>
        <v/>
      </c>
      <c r="P47" s="67">
        <f>C47-G47</f>
        <v/>
      </c>
      <c r="Q47" s="67">
        <f>E47-C47</f>
        <v/>
      </c>
      <c r="R47" s="67">
        <f>C47-M47</f>
        <v/>
      </c>
      <c r="S47" s="67">
        <f>C47-O47</f>
        <v/>
      </c>
      <c r="T47" s="67">
        <f>E47-O47</f>
        <v/>
      </c>
      <c r="U47" s="67">
        <f>G47-O47</f>
        <v/>
      </c>
      <c r="V47" s="67">
        <f>G47-K47</f>
        <v/>
      </c>
      <c r="W47" s="67">
        <f>C47-K47</f>
        <v/>
      </c>
      <c r="X47" s="67">
        <f>I47-G47</f>
        <v/>
      </c>
      <c r="Y47" s="75">
        <f>G47-M47</f>
        <v/>
      </c>
    </row>
    <row r="48">
      <c r="A48" s="65" t="n">
        <v>44428</v>
      </c>
      <c r="B48" s="66" t="n">
        <v>36.21</v>
      </c>
      <c r="C48" s="67">
        <f>myParidad('Flujo de Fondos'!$B$5,A48,B48,'Flujo de Fondos'!$B$7,'Flujo de Fondos'!$B$6)</f>
        <v/>
      </c>
      <c r="D48" s="66" t="n">
        <v>39</v>
      </c>
      <c r="E48" s="75">
        <f>myParidad('Flujo de Fondos'!$H$5,$A48,D48,'Flujo de Fondos'!$H$7,'Flujo de Fondos'!$H$6)</f>
        <v/>
      </c>
      <c r="F48" s="66" t="n">
        <v>35.27</v>
      </c>
      <c r="G48" s="67">
        <f>myParidad('Flujo de Fondos'!$N$5,$A48,F48,'Flujo de Fondos'!$N$7,'Flujo de Fondos'!$N$6)</f>
        <v/>
      </c>
      <c r="H48" s="68" t="n">
        <v>37.99</v>
      </c>
      <c r="I48" s="67">
        <f>myParidad('Flujo de Fondos'!$T$5,$A48,H48,'Flujo de Fondos'!$T$7,'Flujo de Fondos'!$T$6)</f>
        <v/>
      </c>
      <c r="J48" s="68" t="n">
        <v>32.7</v>
      </c>
      <c r="K48" s="67">
        <f>myParidad('Flujo de Fondos'!$B$34,$A48,J48,'Flujo de Fondos'!$B$36,'Flujo de Fondos'!$B$35)</f>
        <v/>
      </c>
      <c r="L48" s="66" t="n">
        <v>37.2</v>
      </c>
      <c r="M48" s="67">
        <f>myParidad('Flujo de Fondos'!$H$34,'Paridad usd'!$A48,'Paridad usd'!L48,'Flujo de Fondos'!$H$36,'Flujo de Fondos'!$H$35)</f>
        <v/>
      </c>
      <c r="N48" s="68" t="n">
        <v>36.6</v>
      </c>
      <c r="O48" s="67">
        <f>myParidad('Flujo de Fondos'!$N$34,$A48,N48,'Flujo de Fondos'!$N$36,'Flujo de Fondos'!$N$35)</f>
        <v/>
      </c>
      <c r="P48" s="67">
        <f>C48-G48</f>
        <v/>
      </c>
      <c r="Q48" s="67">
        <f>E48-C48</f>
        <v/>
      </c>
      <c r="R48" s="67">
        <f>C48-M48</f>
        <v/>
      </c>
      <c r="S48" s="67">
        <f>C48-O48</f>
        <v/>
      </c>
      <c r="T48" s="67">
        <f>E48-O48</f>
        <v/>
      </c>
      <c r="U48" s="67">
        <f>G48-O48</f>
        <v/>
      </c>
      <c r="V48" s="67">
        <f>G48-K48</f>
        <v/>
      </c>
      <c r="W48" s="67">
        <f>C48-K48</f>
        <v/>
      </c>
      <c r="X48" s="67">
        <f>I48-G48</f>
        <v/>
      </c>
      <c r="Y48" s="75">
        <f>G48-M48</f>
        <v/>
      </c>
    </row>
    <row r="49">
      <c r="A49" s="65" t="n">
        <v>44427</v>
      </c>
      <c r="B49" s="66" t="n">
        <v>36.15</v>
      </c>
      <c r="C49" s="67">
        <f>myParidad('Flujo de Fondos'!$B$5,A49,B49,'Flujo de Fondos'!$B$7,'Flujo de Fondos'!$B$6)</f>
        <v/>
      </c>
      <c r="D49" s="66" t="n">
        <v>40</v>
      </c>
      <c r="E49" s="75">
        <f>myParidad('Flujo de Fondos'!$H$5,$A49,D49,'Flujo de Fondos'!$H$7,'Flujo de Fondos'!$H$6)</f>
        <v/>
      </c>
      <c r="F49" s="66" t="n">
        <v>35.26</v>
      </c>
      <c r="G49" s="67">
        <f>myParidad('Flujo de Fondos'!$N$5,$A49,F49,'Flujo de Fondos'!$N$7,'Flujo de Fondos'!$N$6)</f>
        <v/>
      </c>
      <c r="H49" s="68" t="n">
        <v>37.91</v>
      </c>
      <c r="I49" s="67">
        <f>myParidad('Flujo de Fondos'!$T$5,$A49,H49,'Flujo de Fondos'!$T$7,'Flujo de Fondos'!$T$6)</f>
        <v/>
      </c>
      <c r="J49" s="68" t="n">
        <v>33.2</v>
      </c>
      <c r="K49" s="67">
        <f>myParidad('Flujo de Fondos'!$B$34,$A49,J49,'Flujo de Fondos'!$B$36,'Flujo de Fondos'!$B$35)</f>
        <v/>
      </c>
      <c r="L49" s="66" t="n">
        <v>37.25</v>
      </c>
      <c r="M49" s="67">
        <f>myParidad('Flujo de Fondos'!$H$34,'Paridad usd'!$A49,'Paridad usd'!L49,'Flujo de Fondos'!$H$36,'Flujo de Fondos'!$H$35)</f>
        <v/>
      </c>
      <c r="N49" s="68" t="n">
        <v>36.7</v>
      </c>
      <c r="O49" s="67">
        <f>myParidad('Flujo de Fondos'!$N$34,$A49,N49,'Flujo de Fondos'!$N$36,'Flujo de Fondos'!$N$35)</f>
        <v/>
      </c>
      <c r="P49" s="67">
        <f>C49-G49</f>
        <v/>
      </c>
      <c r="Q49" s="67">
        <f>E49-C49</f>
        <v/>
      </c>
      <c r="R49" s="67">
        <f>C49-M49</f>
        <v/>
      </c>
      <c r="S49" s="67">
        <f>C49-O49</f>
        <v/>
      </c>
      <c r="T49" s="67">
        <f>E49-O49</f>
        <v/>
      </c>
      <c r="U49" s="67">
        <f>G49-O49</f>
        <v/>
      </c>
      <c r="V49" s="67">
        <f>G49-K49</f>
        <v/>
      </c>
      <c r="W49" s="67">
        <f>C49-K49</f>
        <v/>
      </c>
      <c r="X49" s="67">
        <f>I49-G49</f>
        <v/>
      </c>
      <c r="Y49" s="75">
        <f>G49-M49</f>
        <v/>
      </c>
    </row>
    <row r="50">
      <c r="A50" s="65" t="n">
        <v>44426</v>
      </c>
      <c r="B50" s="66" t="n">
        <v>36</v>
      </c>
      <c r="C50" s="67">
        <f>myParidad('Flujo de Fondos'!$B$5,A50,B50,'Flujo de Fondos'!$B$7,'Flujo de Fondos'!$B$6)</f>
        <v/>
      </c>
      <c r="D50" s="66" t="n">
        <v>40</v>
      </c>
      <c r="E50" s="75">
        <f>myParidad('Flujo de Fondos'!$H$5,$A50,D50,'Flujo de Fondos'!$H$7,'Flujo de Fondos'!$H$6)</f>
        <v/>
      </c>
      <c r="F50" s="66" t="n">
        <v>35.11</v>
      </c>
      <c r="G50" s="67">
        <f>myParidad('Flujo de Fondos'!$N$5,$A50,F50,'Flujo de Fondos'!$N$7,'Flujo de Fondos'!$N$6)</f>
        <v/>
      </c>
      <c r="H50" s="68" t="n">
        <v>38.25</v>
      </c>
      <c r="I50" s="67">
        <f>myParidad('Flujo de Fondos'!$T$5,$A50,H50,'Flujo de Fondos'!$T$7,'Flujo de Fondos'!$T$6)</f>
        <v/>
      </c>
      <c r="J50" s="68" t="n">
        <v>33.18</v>
      </c>
      <c r="K50" s="67">
        <f>myParidad('Flujo de Fondos'!$B$34,$A50,J50,'Flujo de Fondos'!$B$36,'Flujo de Fondos'!$B$35)</f>
        <v/>
      </c>
      <c r="L50" s="66" t="n">
        <v>37.65</v>
      </c>
      <c r="M50" s="67">
        <f>myParidad('Flujo de Fondos'!$H$34,'Paridad usd'!$A50,'Paridad usd'!L50,'Flujo de Fondos'!$H$36,'Flujo de Fondos'!$H$35)</f>
        <v/>
      </c>
      <c r="N50" s="68" t="n">
        <v>36.66</v>
      </c>
      <c r="O50" s="67">
        <f>myParidad('Flujo de Fondos'!$N$34,$A50,N50,'Flujo de Fondos'!$N$36,'Flujo de Fondos'!$N$35)</f>
        <v/>
      </c>
      <c r="P50" s="67">
        <f>C50-G50</f>
        <v/>
      </c>
      <c r="Q50" s="67">
        <f>E50-C50</f>
        <v/>
      </c>
      <c r="R50" s="67">
        <f>C50-M50</f>
        <v/>
      </c>
      <c r="S50" s="67">
        <f>C50-O50</f>
        <v/>
      </c>
      <c r="T50" s="67">
        <f>E50-O50</f>
        <v/>
      </c>
      <c r="U50" s="67">
        <f>G50-O50</f>
        <v/>
      </c>
      <c r="V50" s="67">
        <f>G50-K50</f>
        <v/>
      </c>
      <c r="W50" s="67">
        <f>C50-K50</f>
        <v/>
      </c>
      <c r="X50" s="67">
        <f>I50-G50</f>
        <v/>
      </c>
      <c r="Y50" s="75">
        <f>G50-M50</f>
        <v/>
      </c>
    </row>
    <row r="51">
      <c r="A51" s="65" t="n">
        <v>44425</v>
      </c>
      <c r="B51" s="66" t="n">
        <v>36.09</v>
      </c>
      <c r="C51" s="67">
        <f>myParidad('Flujo de Fondos'!$B$5,A51,B51,'Flujo de Fondos'!$B$7,'Flujo de Fondos'!$B$6)</f>
        <v/>
      </c>
      <c r="D51" s="66" t="n">
        <v>39.81</v>
      </c>
      <c r="E51" s="75">
        <f>myParidad('Flujo de Fondos'!$H$5,$A51,D51,'Flujo de Fondos'!$H$7,'Flujo de Fondos'!$H$6)</f>
        <v/>
      </c>
      <c r="F51" s="66" t="n">
        <v>35.27</v>
      </c>
      <c r="G51" s="67">
        <f>myParidad('Flujo de Fondos'!$N$5,$A51,F51,'Flujo de Fondos'!$N$7,'Flujo de Fondos'!$N$6)</f>
        <v/>
      </c>
      <c r="H51" s="68" t="n">
        <v>38.4</v>
      </c>
      <c r="I51" s="67">
        <f>myParidad('Flujo de Fondos'!$T$5,$A51,H51,'Flujo de Fondos'!$T$7,'Flujo de Fondos'!$T$6)</f>
        <v/>
      </c>
      <c r="J51" s="68" t="n">
        <v>32.7</v>
      </c>
      <c r="K51" s="67">
        <f>myParidad('Flujo de Fondos'!$B$34,$A51,J51,'Flujo de Fondos'!$B$36,'Flujo de Fondos'!$B$35)</f>
        <v/>
      </c>
      <c r="L51" s="66" t="n">
        <v>37.75</v>
      </c>
      <c r="M51" s="67">
        <f>myParidad('Flujo de Fondos'!$H$34,'Paridad usd'!$A51,'Paridad usd'!L51,'Flujo de Fondos'!$H$36,'Flujo de Fondos'!$H$35)</f>
        <v/>
      </c>
      <c r="N51" s="68" t="n">
        <v>36.4</v>
      </c>
      <c r="O51" s="67">
        <f>myParidad('Flujo de Fondos'!$N$34,$A51,N51,'Flujo de Fondos'!$N$36,'Flujo de Fondos'!$N$35)</f>
        <v/>
      </c>
      <c r="P51" s="67">
        <f>C51-G51</f>
        <v/>
      </c>
      <c r="Q51" s="67">
        <f>E51-C51</f>
        <v/>
      </c>
      <c r="R51" s="67">
        <f>C51-M51</f>
        <v/>
      </c>
      <c r="S51" s="67">
        <f>C51-O51</f>
        <v/>
      </c>
      <c r="T51" s="67">
        <f>E51-O51</f>
        <v/>
      </c>
      <c r="U51" s="67">
        <f>G51-O51</f>
        <v/>
      </c>
      <c r="V51" s="67">
        <f>G51-K51</f>
        <v/>
      </c>
      <c r="W51" s="67">
        <f>C51-K51</f>
        <v/>
      </c>
      <c r="X51" s="67">
        <f>I51-G51</f>
        <v/>
      </c>
      <c r="Y51" s="75">
        <f>G51-M51</f>
        <v/>
      </c>
    </row>
    <row r="52">
      <c r="A52" s="65" t="n">
        <v>44421</v>
      </c>
      <c r="B52" s="66" t="n">
        <v>36.15</v>
      </c>
      <c r="C52" s="67">
        <f>myParidad('Flujo de Fondos'!$B$5,A52,B52,'Flujo de Fondos'!$B$7,'Flujo de Fondos'!$B$6)</f>
        <v/>
      </c>
      <c r="D52" s="66" t="n">
        <v>40.6</v>
      </c>
      <c r="E52" s="75">
        <f>myParidad('Flujo de Fondos'!$H$5,$A52,D52,'Flujo de Fondos'!$H$7,'Flujo de Fondos'!$H$6)</f>
        <v/>
      </c>
      <c r="F52" s="66" t="n">
        <v>35.12</v>
      </c>
      <c r="G52" s="67">
        <f>myParidad('Flujo de Fondos'!$N$5,$A52,F52,'Flujo de Fondos'!$N$7,'Flujo de Fondos'!$N$6)</f>
        <v/>
      </c>
      <c r="H52" s="68" t="n">
        <v>38.8</v>
      </c>
      <c r="I52" s="67">
        <f>myParidad('Flujo de Fondos'!$T$5,$A52,H52,'Flujo de Fondos'!$T$7,'Flujo de Fondos'!$T$6)</f>
        <v/>
      </c>
      <c r="J52" s="68" t="n">
        <v>33.25</v>
      </c>
      <c r="K52" s="67">
        <f>myParidad('Flujo de Fondos'!$B$34,$A52,J52,'Flujo de Fondos'!$B$36,'Flujo de Fondos'!$B$35)</f>
        <v/>
      </c>
      <c r="L52" s="66" t="n">
        <v>37.75</v>
      </c>
      <c r="M52" s="67">
        <f>myParidad('Flujo de Fondos'!$H$34,'Paridad usd'!$A52,'Paridad usd'!L52,'Flujo de Fondos'!$H$36,'Flujo de Fondos'!$H$35)</f>
        <v/>
      </c>
      <c r="N52" s="68" t="n">
        <v>37.4</v>
      </c>
      <c r="O52" s="67">
        <f>myParidad('Flujo de Fondos'!$N$34,$A52,N52,'Flujo de Fondos'!$N$36,'Flujo de Fondos'!$N$35)</f>
        <v/>
      </c>
      <c r="P52" s="67">
        <f>C52-G52</f>
        <v/>
      </c>
      <c r="Q52" s="67">
        <f>E52-C52</f>
        <v/>
      </c>
      <c r="R52" s="67">
        <f>C52-M52</f>
        <v/>
      </c>
      <c r="S52" s="67">
        <f>C52-O52</f>
        <v/>
      </c>
      <c r="T52" s="67">
        <f>E52-O52</f>
        <v/>
      </c>
      <c r="U52" s="67">
        <f>G52-O52</f>
        <v/>
      </c>
      <c r="V52" s="67">
        <f>G52-K52</f>
        <v/>
      </c>
      <c r="W52" s="67">
        <f>C52-K52</f>
        <v/>
      </c>
      <c r="X52" s="67">
        <f>I52-G52</f>
        <v/>
      </c>
      <c r="Y52" s="75">
        <f>G52-M52</f>
        <v/>
      </c>
    </row>
    <row r="53">
      <c r="A53" s="65" t="n">
        <v>44420</v>
      </c>
      <c r="B53" s="66" t="n">
        <v>37.02</v>
      </c>
      <c r="C53" s="67">
        <f>myParidad('Flujo de Fondos'!$B$5,A53,B53,'Flujo de Fondos'!$B$7,'Flujo de Fondos'!$B$6)</f>
        <v/>
      </c>
      <c r="D53" s="66" t="n">
        <v>40.7</v>
      </c>
      <c r="E53" s="75">
        <f>myParidad('Flujo de Fondos'!$H$5,$A53,D53,'Flujo de Fondos'!$H$7,'Flujo de Fondos'!$H$6)</f>
        <v/>
      </c>
      <c r="F53" s="66" t="n">
        <v>35.68</v>
      </c>
      <c r="G53" s="67">
        <f>myParidad('Flujo de Fondos'!$N$5,$A53,F53,'Flujo de Fondos'!$N$7,'Flujo de Fondos'!$N$6)</f>
        <v/>
      </c>
      <c r="H53" s="68" t="n">
        <v>39.14</v>
      </c>
      <c r="I53" s="67">
        <f>myParidad('Flujo de Fondos'!$T$5,$A53,H53,'Flujo de Fondos'!$T$7,'Flujo de Fondos'!$T$6)</f>
        <v/>
      </c>
      <c r="J53" s="68" t="n">
        <v>33.8</v>
      </c>
      <c r="K53" s="67">
        <f>myParidad('Flujo de Fondos'!$B$34,$A53,J53,'Flujo de Fondos'!$B$36,'Flujo de Fondos'!$B$35)</f>
        <v/>
      </c>
      <c r="L53" s="66" t="n">
        <v>38.4</v>
      </c>
      <c r="M53" s="67">
        <f>myParidad('Flujo de Fondos'!$H$34,'Paridad usd'!$A53,'Paridad usd'!L53,'Flujo de Fondos'!$H$36,'Flujo de Fondos'!$H$35)</f>
        <v/>
      </c>
      <c r="N53" s="68" t="n">
        <v>37.9</v>
      </c>
      <c r="O53" s="67">
        <f>myParidad('Flujo de Fondos'!$N$34,$A53,N53,'Flujo de Fondos'!$N$36,'Flujo de Fondos'!$N$35)</f>
        <v/>
      </c>
      <c r="P53" s="67">
        <f>C53-G53</f>
        <v/>
      </c>
      <c r="Q53" s="67">
        <f>E53-C53</f>
        <v/>
      </c>
      <c r="R53" s="67">
        <f>C53-M53</f>
        <v/>
      </c>
      <c r="S53" s="67">
        <f>C53-O53</f>
        <v/>
      </c>
      <c r="T53" s="67">
        <f>E53-O53</f>
        <v/>
      </c>
      <c r="U53" s="67">
        <f>G53-O53</f>
        <v/>
      </c>
      <c r="V53" s="67">
        <f>G53-K53</f>
        <v/>
      </c>
      <c r="W53" s="67">
        <f>C53-K53</f>
        <v/>
      </c>
      <c r="X53" s="67">
        <f>I53-G53</f>
        <v/>
      </c>
      <c r="Y53" s="75">
        <f>G53-M53</f>
        <v/>
      </c>
    </row>
    <row r="54">
      <c r="A54" s="65" t="n">
        <v>44419</v>
      </c>
      <c r="B54" s="66" t="n">
        <v>36.65</v>
      </c>
      <c r="C54" s="67">
        <f>myParidad('Flujo de Fondos'!$B$5,A54,B54,'Flujo de Fondos'!$B$7,'Flujo de Fondos'!$B$6)</f>
        <v/>
      </c>
      <c r="D54" s="66" t="n">
        <v>40.5</v>
      </c>
      <c r="E54" s="75">
        <f>myParidad('Flujo de Fondos'!$H$5,$A54,D54,'Flujo de Fondos'!$H$7,'Flujo de Fondos'!$H$6)</f>
        <v/>
      </c>
      <c r="F54" s="66" t="n">
        <v>35.53</v>
      </c>
      <c r="G54" s="67">
        <f>myParidad('Flujo de Fondos'!$N$5,$A54,F54,'Flujo de Fondos'!$N$7,'Flujo de Fondos'!$N$6)</f>
        <v/>
      </c>
      <c r="H54" s="68" t="n">
        <v>38.7</v>
      </c>
      <c r="I54" s="67">
        <f>myParidad('Flujo de Fondos'!$T$5,$A54,H54,'Flujo de Fondos'!$T$7,'Flujo de Fondos'!$T$6)</f>
        <v/>
      </c>
      <c r="J54" s="68" t="n">
        <v>33.03</v>
      </c>
      <c r="K54" s="67">
        <f>myParidad('Flujo de Fondos'!$B$34,$A54,J54,'Flujo de Fondos'!$B$36,'Flujo de Fondos'!$B$35)</f>
        <v/>
      </c>
      <c r="L54" s="66" t="n">
        <v>37.81</v>
      </c>
      <c r="M54" s="67">
        <f>myParidad('Flujo de Fondos'!$H$34,'Paridad usd'!$A54,'Paridad usd'!L54,'Flujo de Fondos'!$H$36,'Flujo de Fondos'!$H$35)</f>
        <v/>
      </c>
      <c r="N54" s="68" t="n">
        <v>37.55</v>
      </c>
      <c r="O54" s="67">
        <f>myParidad('Flujo de Fondos'!$N$34,$A54,N54,'Flujo de Fondos'!$N$36,'Flujo de Fondos'!$N$35)</f>
        <v/>
      </c>
      <c r="P54" s="67">
        <f>C54-G54</f>
        <v/>
      </c>
      <c r="Q54" s="67">
        <f>E54-C54</f>
        <v/>
      </c>
      <c r="R54" s="67">
        <f>C54-M54</f>
        <v/>
      </c>
      <c r="S54" s="67">
        <f>C54-O54</f>
        <v/>
      </c>
      <c r="T54" s="67">
        <f>E54-O54</f>
        <v/>
      </c>
      <c r="U54" s="67">
        <f>G54-O54</f>
        <v/>
      </c>
      <c r="V54" s="67">
        <f>G54-K54</f>
        <v/>
      </c>
      <c r="W54" s="67">
        <f>C54-K54</f>
        <v/>
      </c>
      <c r="X54" s="67">
        <f>I54-G54</f>
        <v/>
      </c>
      <c r="Y54" s="75">
        <f>G54-M54</f>
        <v/>
      </c>
    </row>
    <row r="55">
      <c r="A55" s="65" t="n">
        <v>44418</v>
      </c>
      <c r="B55" s="66" t="n">
        <v>36.5</v>
      </c>
      <c r="C55" s="67">
        <f>myParidad('Flujo de Fondos'!$B$5,A55,B55,'Flujo de Fondos'!$B$7,'Flujo de Fondos'!$B$6)</f>
        <v/>
      </c>
      <c r="D55" s="66" t="n">
        <v>40.5</v>
      </c>
      <c r="E55" s="75">
        <f>myParidad('Flujo de Fondos'!$H$5,$A55,D55,'Flujo de Fondos'!$H$7,'Flujo de Fondos'!$H$6)</f>
        <v/>
      </c>
      <c r="F55" s="66" t="n">
        <v>35.35</v>
      </c>
      <c r="G55" s="67">
        <f>myParidad('Flujo de Fondos'!$N$5,$A55,F55,'Flujo de Fondos'!$N$7,'Flujo de Fondos'!$N$6)</f>
        <v/>
      </c>
      <c r="H55" s="68" t="n">
        <v>38.69</v>
      </c>
      <c r="I55" s="67">
        <f>myParidad('Flujo de Fondos'!$T$5,$A55,H55,'Flujo de Fondos'!$T$7,'Flujo de Fondos'!$T$6)</f>
        <v/>
      </c>
      <c r="J55" s="68" t="n">
        <v>32.91</v>
      </c>
      <c r="K55" s="67">
        <f>myParidad('Flujo de Fondos'!$B$34,$A55,J55,'Flujo de Fondos'!$B$36,'Flujo de Fondos'!$B$35)</f>
        <v/>
      </c>
      <c r="L55" s="66" t="n">
        <v>37.74</v>
      </c>
      <c r="M55" s="67">
        <f>myParidad('Flujo de Fondos'!$H$34,'Paridad usd'!$A55,'Paridad usd'!L55,'Flujo de Fondos'!$H$36,'Flujo de Fondos'!$H$35)</f>
        <v/>
      </c>
      <c r="N55" s="68" t="n">
        <v>37.5</v>
      </c>
      <c r="O55" s="67">
        <f>myParidad('Flujo de Fondos'!$N$34,$A55,N55,'Flujo de Fondos'!$N$36,'Flujo de Fondos'!$N$35)</f>
        <v/>
      </c>
      <c r="P55" s="67">
        <f>C55-G55</f>
        <v/>
      </c>
      <c r="Q55" s="67">
        <f>E55-C55</f>
        <v/>
      </c>
      <c r="R55" s="67">
        <f>C55-M55</f>
        <v/>
      </c>
      <c r="S55" s="67">
        <f>C55-O55</f>
        <v/>
      </c>
      <c r="T55" s="67">
        <f>E55-O55</f>
        <v/>
      </c>
      <c r="U55" s="67">
        <f>G55-O55</f>
        <v/>
      </c>
      <c r="V55" s="67">
        <f>G55-K55</f>
        <v/>
      </c>
      <c r="W55" s="67">
        <f>C55-K55</f>
        <v/>
      </c>
      <c r="X55" s="67">
        <f>I55-G55</f>
        <v/>
      </c>
      <c r="Y55" s="75">
        <f>G55-M55</f>
        <v/>
      </c>
    </row>
    <row r="56">
      <c r="A56" s="65" t="n">
        <v>44417</v>
      </c>
      <c r="B56" s="66" t="n">
        <v>36.12</v>
      </c>
      <c r="C56" s="67">
        <f>myParidad('Flujo de Fondos'!$B$5,A56,B56,'Flujo de Fondos'!$B$7,'Flujo de Fondos'!$B$6)</f>
        <v/>
      </c>
      <c r="D56" s="66" t="n">
        <v>40.05</v>
      </c>
      <c r="E56" s="75">
        <f>myParidad('Flujo de Fondos'!$H$5,$A56,D56,'Flujo de Fondos'!$H$7,'Flujo de Fondos'!$H$6)</f>
        <v/>
      </c>
      <c r="F56" s="66" t="n">
        <v>35.1</v>
      </c>
      <c r="G56" s="67">
        <f>myParidad('Flujo de Fondos'!$N$5,$A56,F56,'Flujo de Fondos'!$N$7,'Flujo de Fondos'!$N$6)</f>
        <v/>
      </c>
      <c r="H56" s="68" t="n">
        <v>38.33</v>
      </c>
      <c r="I56" s="67">
        <f>myParidad('Flujo de Fondos'!$T$5,$A56,H56,'Flujo de Fondos'!$T$7,'Flujo de Fondos'!$T$6)</f>
        <v/>
      </c>
      <c r="J56" s="68" t="n">
        <v>32.7</v>
      </c>
      <c r="K56" s="67">
        <f>myParidad('Flujo de Fondos'!$B$34,$A56,J56,'Flujo de Fondos'!$B$36,'Flujo de Fondos'!$B$35)</f>
        <v/>
      </c>
      <c r="L56" s="66" t="n">
        <v>37.4</v>
      </c>
      <c r="M56" s="67">
        <f>myParidad('Flujo de Fondos'!$H$34,'Paridad usd'!$A56,'Paridad usd'!L56,'Flujo de Fondos'!$H$36,'Flujo de Fondos'!$H$35)</f>
        <v/>
      </c>
      <c r="N56" s="68" t="n">
        <v>37.08</v>
      </c>
      <c r="O56" s="67">
        <f>myParidad('Flujo de Fondos'!$N$34,$A56,N56,'Flujo de Fondos'!$N$36,'Flujo de Fondos'!$N$35)</f>
        <v/>
      </c>
      <c r="P56" s="67">
        <f>C56-G56</f>
        <v/>
      </c>
      <c r="Q56" s="67">
        <f>E56-C56</f>
        <v/>
      </c>
      <c r="R56" s="67">
        <f>C56-M56</f>
        <v/>
      </c>
      <c r="S56" s="67">
        <f>C56-O56</f>
        <v/>
      </c>
      <c r="T56" s="67">
        <f>E56-O56</f>
        <v/>
      </c>
      <c r="U56" s="67">
        <f>G56-O56</f>
        <v/>
      </c>
      <c r="V56" s="67">
        <f>G56-K56</f>
        <v/>
      </c>
      <c r="W56" s="67">
        <f>C56-K56</f>
        <v/>
      </c>
      <c r="X56" s="67">
        <f>I56-G56</f>
        <v/>
      </c>
      <c r="Y56" s="75">
        <f>G56-M56</f>
        <v/>
      </c>
    </row>
    <row r="57">
      <c r="A57" s="65" t="n">
        <v>44413</v>
      </c>
      <c r="B57" s="66" t="n">
        <v>36.25</v>
      </c>
      <c r="C57" s="67">
        <f>myParidad('Flujo de Fondos'!$B$5,A57,B57,'Flujo de Fondos'!$B$7,'Flujo de Fondos'!$B$6)</f>
        <v/>
      </c>
      <c r="D57" s="66" t="n">
        <v>40.4</v>
      </c>
      <c r="E57" s="75">
        <f>myParidad('Flujo de Fondos'!$H$5,$A57,D57,'Flujo de Fondos'!$H$7,'Flujo de Fondos'!$H$6)</f>
        <v/>
      </c>
      <c r="F57" s="66" t="n">
        <v>34.97</v>
      </c>
      <c r="G57" s="67">
        <f>myParidad('Flujo de Fondos'!$N$5,$A57,F57,'Flujo de Fondos'!$N$7,'Flujo de Fondos'!$N$6)</f>
        <v/>
      </c>
      <c r="H57" s="68" t="n">
        <v>38.4</v>
      </c>
      <c r="I57" s="67">
        <f>myParidad('Flujo de Fondos'!$T$5,$A57,H57,'Flujo de Fondos'!$T$7,'Flujo de Fondos'!$T$6)</f>
        <v/>
      </c>
      <c r="J57" s="68" t="n">
        <v>32.75</v>
      </c>
      <c r="K57" s="67">
        <f>myParidad('Flujo de Fondos'!$B$34,$A57,J57,'Flujo de Fondos'!$B$36,'Flujo de Fondos'!$B$35)</f>
        <v/>
      </c>
      <c r="L57" s="66" t="n">
        <v>37.4</v>
      </c>
      <c r="M57" s="67">
        <f>myParidad('Flujo de Fondos'!$H$34,'Paridad usd'!$A57,'Paridad usd'!L57,'Flujo de Fondos'!$H$36,'Flujo de Fondos'!$H$35)</f>
        <v/>
      </c>
      <c r="N57" s="68" t="n">
        <v>37</v>
      </c>
      <c r="O57" s="67">
        <f>myParidad('Flujo de Fondos'!$N$34,$A57,N57,'Flujo de Fondos'!$N$36,'Flujo de Fondos'!$N$35)</f>
        <v/>
      </c>
      <c r="P57" s="67">
        <f>C57-G57</f>
        <v/>
      </c>
      <c r="Q57" s="67">
        <f>E57-C57</f>
        <v/>
      </c>
      <c r="R57" s="67">
        <f>C57-M57</f>
        <v/>
      </c>
      <c r="S57" s="67">
        <f>C57-O57</f>
        <v/>
      </c>
      <c r="T57" s="67">
        <f>E57-O57</f>
        <v/>
      </c>
      <c r="U57" s="67">
        <f>G57-O57</f>
        <v/>
      </c>
      <c r="V57" s="67">
        <f>G57-K57</f>
        <v/>
      </c>
      <c r="W57" s="67">
        <f>C57-K57</f>
        <v/>
      </c>
      <c r="X57" s="67">
        <f>I57-G57</f>
        <v/>
      </c>
      <c r="Y57" s="75">
        <f>G57-M57</f>
        <v/>
      </c>
    </row>
    <row r="58">
      <c r="A58" s="65" t="n">
        <v>44412</v>
      </c>
      <c r="B58" s="66" t="n">
        <v>36.3</v>
      </c>
      <c r="C58" s="67">
        <f>myParidad('Flujo de Fondos'!$B$5,A58,B58,'Flujo de Fondos'!$B$7,'Flujo de Fondos'!$B$6)</f>
        <v/>
      </c>
      <c r="D58" s="66" t="n">
        <v>41</v>
      </c>
      <c r="E58" s="75">
        <f>myParidad('Flujo de Fondos'!$H$5,$A58,D58,'Flujo de Fondos'!$H$7,'Flujo de Fondos'!$H$6)</f>
        <v/>
      </c>
      <c r="F58" s="66" t="n">
        <v>35.19</v>
      </c>
      <c r="G58" s="67">
        <f>myParidad('Flujo de Fondos'!$N$5,$A58,F58,'Flujo de Fondos'!$N$7,'Flujo de Fondos'!$N$6)</f>
        <v/>
      </c>
      <c r="H58" s="68" t="n">
        <v>38.7</v>
      </c>
      <c r="I58" s="67">
        <f>myParidad('Flujo de Fondos'!$T$5,$A58,H58,'Flujo de Fondos'!$T$7,'Flujo de Fondos'!$T$6)</f>
        <v/>
      </c>
      <c r="J58" s="68" t="n">
        <v>33.02</v>
      </c>
      <c r="K58" s="67">
        <f>myParidad('Flujo de Fondos'!$B$34,$A58,J58,'Flujo de Fondos'!$B$36,'Flujo de Fondos'!$B$35)</f>
        <v/>
      </c>
      <c r="L58" s="66" t="n">
        <v>37.7</v>
      </c>
      <c r="M58" s="67">
        <f>myParidad('Flujo de Fondos'!$H$34,'Paridad usd'!$A58,'Paridad usd'!L58,'Flujo de Fondos'!$H$36,'Flujo de Fondos'!$H$35)</f>
        <v/>
      </c>
      <c r="N58" s="68" t="n">
        <v>37.15</v>
      </c>
      <c r="O58" s="67">
        <f>myParidad('Flujo de Fondos'!$N$34,$A58,N58,'Flujo de Fondos'!$N$36,'Flujo de Fondos'!$N$35)</f>
        <v/>
      </c>
      <c r="P58" s="67">
        <f>C58-G58</f>
        <v/>
      </c>
      <c r="Q58" s="67">
        <f>E58-C58</f>
        <v/>
      </c>
      <c r="R58" s="67">
        <f>C58-M58</f>
        <v/>
      </c>
      <c r="S58" s="67">
        <f>C58-O58</f>
        <v/>
      </c>
      <c r="T58" s="67">
        <f>E58-O58</f>
        <v/>
      </c>
      <c r="U58" s="67">
        <f>G58-O58</f>
        <v/>
      </c>
      <c r="V58" s="67">
        <f>G58-K58</f>
        <v/>
      </c>
      <c r="W58" s="67">
        <f>C58-K58</f>
        <v/>
      </c>
      <c r="X58" s="67">
        <f>I58-G58</f>
        <v/>
      </c>
      <c r="Y58" s="75">
        <f>G58-M58</f>
        <v/>
      </c>
    </row>
    <row r="59">
      <c r="A59" s="65" t="n">
        <v>44411</v>
      </c>
      <c r="B59" s="66" t="n">
        <v>36.43</v>
      </c>
      <c r="C59" s="67">
        <f>myParidad('Flujo de Fondos'!$B$5,A59,B59,'Flujo de Fondos'!$B$7,'Flujo de Fondos'!$B$6)</f>
        <v/>
      </c>
      <c r="D59" s="66" t="n">
        <v>40.5</v>
      </c>
      <c r="E59" s="75">
        <f>myParidad('Flujo de Fondos'!$H$5,$A59,D59,'Flujo de Fondos'!$H$7,'Flujo de Fondos'!$H$6)</f>
        <v/>
      </c>
      <c r="F59" s="66" t="n">
        <v>35.41</v>
      </c>
      <c r="G59" s="67">
        <f>myParidad('Flujo de Fondos'!$N$5,$A59,F59,'Flujo de Fondos'!$N$7,'Flujo de Fondos'!$N$6)</f>
        <v/>
      </c>
      <c r="H59" s="68" t="n">
        <v>38.79</v>
      </c>
      <c r="I59" s="67">
        <f>myParidad('Flujo de Fondos'!$T$5,$A59,H59,'Flujo de Fondos'!$T$7,'Flujo de Fondos'!$T$6)</f>
        <v/>
      </c>
      <c r="J59" s="68" t="n">
        <v>33.43</v>
      </c>
      <c r="K59" s="67">
        <f>myParidad('Flujo de Fondos'!$B$34,$A59,J59,'Flujo de Fondos'!$B$36,'Flujo de Fondos'!$B$35)</f>
        <v/>
      </c>
      <c r="L59" s="66" t="n">
        <v>38.15</v>
      </c>
      <c r="M59" s="67">
        <f>myParidad('Flujo de Fondos'!$H$34,'Paridad usd'!$A59,'Paridad usd'!L59,'Flujo de Fondos'!$H$36,'Flujo de Fondos'!$H$35)</f>
        <v/>
      </c>
      <c r="N59" s="68" t="n">
        <v>37.6</v>
      </c>
      <c r="O59" s="67">
        <f>myParidad('Flujo de Fondos'!$N$34,$A59,N59,'Flujo de Fondos'!$N$36,'Flujo de Fondos'!$N$35)</f>
        <v/>
      </c>
      <c r="P59" s="67">
        <f>C59-G59</f>
        <v/>
      </c>
      <c r="Q59" s="67">
        <f>E59-C59</f>
        <v/>
      </c>
      <c r="R59" s="67">
        <f>C59-M59</f>
        <v/>
      </c>
      <c r="S59" s="67">
        <f>C59-O59</f>
        <v/>
      </c>
      <c r="T59" s="67">
        <f>E59-O59</f>
        <v/>
      </c>
      <c r="U59" s="67">
        <f>G59-O59</f>
        <v/>
      </c>
      <c r="V59" s="67">
        <f>G59-K59</f>
        <v/>
      </c>
      <c r="W59" s="67">
        <f>C59-K59</f>
        <v/>
      </c>
      <c r="X59" s="67">
        <f>I59-G59</f>
        <v/>
      </c>
      <c r="Y59" s="75">
        <f>G59-M59</f>
        <v/>
      </c>
    </row>
    <row r="60">
      <c r="A60" s="65" t="n">
        <v>44410</v>
      </c>
      <c r="B60" s="66" t="n">
        <v>36.65</v>
      </c>
      <c r="C60" s="67">
        <f>myParidad('Flujo de Fondos'!$B$5,A60,B60,'Flujo de Fondos'!$B$7,'Flujo de Fondos'!$B$6)</f>
        <v/>
      </c>
      <c r="D60" s="66" t="n">
        <v>40.01</v>
      </c>
      <c r="E60" s="75">
        <f>myParidad('Flujo de Fondos'!$H$5,$A60,D60,'Flujo de Fondos'!$H$7,'Flujo de Fondos'!$H$6)</f>
        <v/>
      </c>
      <c r="F60" s="66" t="n">
        <v>35.59</v>
      </c>
      <c r="G60" s="67">
        <f>myParidad('Flujo de Fondos'!$N$5,$A60,F60,'Flujo de Fondos'!$N$7,'Flujo de Fondos'!$N$6)</f>
        <v/>
      </c>
      <c r="H60" s="68" t="n">
        <v>38.96</v>
      </c>
      <c r="I60" s="67">
        <f>myParidad('Flujo de Fondos'!$T$5,$A60,H60,'Flujo de Fondos'!$T$7,'Flujo de Fondos'!$T$6)</f>
        <v/>
      </c>
      <c r="J60" s="68" t="n">
        <v>33.7</v>
      </c>
      <c r="K60" s="67">
        <f>myParidad('Flujo de Fondos'!$B$34,$A60,J60,'Flujo de Fondos'!$B$36,'Flujo de Fondos'!$B$35)</f>
        <v/>
      </c>
      <c r="L60" s="66" t="n">
        <v>38.23</v>
      </c>
      <c r="M60" s="67">
        <f>myParidad('Flujo de Fondos'!$H$34,'Paridad usd'!$A60,'Paridad usd'!L60,'Flujo de Fondos'!$H$36,'Flujo de Fondos'!$H$35)</f>
        <v/>
      </c>
      <c r="N60" s="68" t="n">
        <v>37.9</v>
      </c>
      <c r="O60" s="67">
        <f>myParidad('Flujo de Fondos'!$N$34,$A60,N60,'Flujo de Fondos'!$N$36,'Flujo de Fondos'!$N$35)</f>
        <v/>
      </c>
      <c r="P60" s="67">
        <f>C60-G60</f>
        <v/>
      </c>
      <c r="Q60" s="67">
        <f>E60-C60</f>
        <v/>
      </c>
      <c r="R60" s="67">
        <f>C60-M60</f>
        <v/>
      </c>
      <c r="S60" s="67">
        <f>C60-O60</f>
        <v/>
      </c>
      <c r="T60" s="67">
        <f>E60-O60</f>
        <v/>
      </c>
      <c r="U60" s="67">
        <f>G60-O60</f>
        <v/>
      </c>
      <c r="V60" s="67">
        <f>G60-K60</f>
        <v/>
      </c>
      <c r="W60" s="67">
        <f>C60-K60</f>
        <v/>
      </c>
      <c r="X60" s="67">
        <f>I60-G60</f>
        <v/>
      </c>
      <c r="Y60" s="75">
        <f>G60-M60</f>
        <v/>
      </c>
    </row>
    <row r="61">
      <c r="A61" s="65" t="n">
        <v>44409</v>
      </c>
      <c r="B61" s="66" t="n">
        <v>36.75</v>
      </c>
      <c r="C61" s="67">
        <f>myParidad('Flujo de Fondos'!$B$5,A61,B61,'Flujo de Fondos'!$B$7,'Flujo de Fondos'!$B$6)</f>
        <v/>
      </c>
      <c r="D61" s="66" t="n">
        <v>40.5</v>
      </c>
      <c r="E61" s="75">
        <f>myParidad('Flujo de Fondos'!$H$5,$A61,D61,'Flujo de Fondos'!$H$7,'Flujo de Fondos'!$H$6)</f>
        <v/>
      </c>
      <c r="F61" s="66" t="n">
        <v>35.78</v>
      </c>
      <c r="G61" s="67">
        <f>myParidad('Flujo de Fondos'!$N$5,$A61,F61,'Flujo de Fondos'!$N$7,'Flujo de Fondos'!$N$6)</f>
        <v/>
      </c>
      <c r="H61" s="68" t="n">
        <v>39</v>
      </c>
      <c r="I61" s="67">
        <f>myParidad('Flujo de Fondos'!$T$5,$A61,H61,'Flujo de Fondos'!$T$7,'Flujo de Fondos'!$T$6)</f>
        <v/>
      </c>
      <c r="J61" s="68" t="n">
        <v>33.6</v>
      </c>
      <c r="K61" s="67">
        <f>myParidad('Flujo de Fondos'!$B$34,$A61,J61,'Flujo de Fondos'!$B$36,'Flujo de Fondos'!$B$35)</f>
        <v/>
      </c>
      <c r="L61" s="66" t="n">
        <v>38.3</v>
      </c>
      <c r="M61" s="67">
        <f>myParidad('Flujo de Fondos'!$H$34,'Paridad usd'!$A61,'Paridad usd'!L61,'Flujo de Fondos'!$H$36,'Flujo de Fondos'!$H$35)</f>
        <v/>
      </c>
      <c r="N61" s="68" t="n">
        <v>38.05</v>
      </c>
      <c r="O61" s="67">
        <f>myParidad('Flujo de Fondos'!$N$34,$A61,N61,'Flujo de Fondos'!$N$36,'Flujo de Fondos'!$N$35)</f>
        <v/>
      </c>
      <c r="P61" s="67">
        <f>C61-G61</f>
        <v/>
      </c>
      <c r="Q61" s="67">
        <f>E61-C61</f>
        <v/>
      </c>
      <c r="R61" s="67">
        <f>C61-M61</f>
        <v/>
      </c>
      <c r="S61" s="67">
        <f>C61-O61</f>
        <v/>
      </c>
      <c r="T61" s="67">
        <f>E61-O61</f>
        <v/>
      </c>
      <c r="U61" s="67">
        <f>G61-O61</f>
        <v/>
      </c>
      <c r="V61" s="67">
        <f>G61-K61</f>
        <v/>
      </c>
      <c r="W61" s="67">
        <f>C61-K61</f>
        <v/>
      </c>
      <c r="X61" s="67">
        <f>I61-G61</f>
        <v/>
      </c>
      <c r="Y61" s="75">
        <f>G61-M61</f>
        <v/>
      </c>
    </row>
    <row r="62">
      <c r="A62" s="65" t="n">
        <v>44407</v>
      </c>
      <c r="B62" s="66" t="n">
        <v>36.8</v>
      </c>
      <c r="C62" s="67">
        <f>myParidad('Flujo de Fondos'!$B$5,A62,B62,'Flujo de Fondos'!$B$7,'Flujo de Fondos'!$B$6)</f>
        <v/>
      </c>
      <c r="D62" s="66" t="n">
        <v>40.9</v>
      </c>
      <c r="E62" s="75">
        <f>myParidad('Flujo de Fondos'!$H$5,$A62,D62,'Flujo de Fondos'!$H$7,'Flujo de Fondos'!$H$6)</f>
        <v/>
      </c>
      <c r="F62" s="66" t="n">
        <v>35.87</v>
      </c>
      <c r="G62" s="67">
        <f>myParidad('Flujo de Fondos'!$N$5,$A62,F62,'Flujo de Fondos'!$N$7,'Flujo de Fondos'!$N$6)</f>
        <v/>
      </c>
      <c r="H62" s="68" t="n">
        <v>38.82</v>
      </c>
      <c r="I62" s="67">
        <f>myParidad('Flujo de Fondos'!$T$5,$A62,H62,'Flujo de Fondos'!$T$7,'Flujo de Fondos'!$T$6)</f>
        <v/>
      </c>
      <c r="J62" s="68" t="n">
        <v>33.58</v>
      </c>
      <c r="K62" s="67">
        <f>myParidad('Flujo de Fondos'!$B$34,$A62,J62,'Flujo de Fondos'!$B$36,'Flujo de Fondos'!$B$35)</f>
        <v/>
      </c>
      <c r="L62" s="66" t="n">
        <v>38.48</v>
      </c>
      <c r="M62" s="67">
        <f>myParidad('Flujo de Fondos'!$H$34,'Paridad usd'!$A62,'Paridad usd'!L62,'Flujo de Fondos'!$H$36,'Flujo de Fondos'!$H$35)</f>
        <v/>
      </c>
      <c r="N62" s="68" t="n">
        <v>38.1</v>
      </c>
      <c r="O62" s="67">
        <f>myParidad('Flujo de Fondos'!$N$34,$A62,N62,'Flujo de Fondos'!$N$36,'Flujo de Fondos'!$N$35)</f>
        <v/>
      </c>
      <c r="P62" s="67">
        <f>C62-G62</f>
        <v/>
      </c>
      <c r="Q62" s="67">
        <f>E62-C62</f>
        <v/>
      </c>
      <c r="R62" s="67">
        <f>C62-M62</f>
        <v/>
      </c>
      <c r="S62" s="67">
        <f>C62-O62</f>
        <v/>
      </c>
      <c r="T62" s="67">
        <f>E62-O62</f>
        <v/>
      </c>
      <c r="U62" s="67">
        <f>G62-O62</f>
        <v/>
      </c>
      <c r="V62" s="67">
        <f>G62-K62</f>
        <v/>
      </c>
      <c r="W62" s="67">
        <f>C62-K62</f>
        <v/>
      </c>
      <c r="X62" s="67">
        <f>I62-G62</f>
        <v/>
      </c>
      <c r="Y62" s="75">
        <f>G62-M62</f>
        <v/>
      </c>
    </row>
    <row r="63">
      <c r="A63" s="65" t="n">
        <v>44406</v>
      </c>
      <c r="B63" s="66" t="n">
        <v>36.86</v>
      </c>
      <c r="C63" s="67">
        <f>myParidad('Flujo de Fondos'!$B$5,A63,B63,'Flujo de Fondos'!$B$7,'Flujo de Fondos'!$B$6)</f>
        <v/>
      </c>
      <c r="D63" s="66" t="n">
        <v>41</v>
      </c>
      <c r="E63" s="75">
        <f>myParidad('Flujo de Fondos'!$H$5,$A63,D63,'Flujo de Fondos'!$H$7,'Flujo de Fondos'!$H$6)</f>
        <v/>
      </c>
      <c r="F63" s="66" t="n">
        <v>35.91</v>
      </c>
      <c r="G63" s="67">
        <f>myParidad('Flujo de Fondos'!$N$5,$A63,F63,'Flujo de Fondos'!$N$7,'Flujo de Fondos'!$N$6)</f>
        <v/>
      </c>
      <c r="H63" s="68" t="n">
        <v>38.68</v>
      </c>
      <c r="I63" s="67">
        <f>myParidad('Flujo de Fondos'!$T$5,$A63,H63,'Flujo de Fondos'!$T$7,'Flujo de Fondos'!$T$6)</f>
        <v/>
      </c>
      <c r="J63" s="68" t="n">
        <v>33.5</v>
      </c>
      <c r="K63" s="67">
        <f>myParidad('Flujo de Fondos'!$B$34,$A63,J63,'Flujo de Fondos'!$B$36,'Flujo de Fondos'!$B$35)</f>
        <v/>
      </c>
      <c r="L63" s="66" t="n">
        <v>38.45</v>
      </c>
      <c r="M63" s="67">
        <f>myParidad('Flujo de Fondos'!$H$34,'Paridad usd'!$A63,'Paridad usd'!L63,'Flujo de Fondos'!$H$36,'Flujo de Fondos'!$H$35)</f>
        <v/>
      </c>
      <c r="N63" s="68" t="n">
        <v>38.15</v>
      </c>
      <c r="O63" s="67">
        <f>myParidad('Flujo de Fondos'!$N$34,$A63,N63,'Flujo de Fondos'!$N$36,'Flujo de Fondos'!$N$35)</f>
        <v/>
      </c>
      <c r="P63" s="67">
        <f>C63-G63</f>
        <v/>
      </c>
      <c r="Q63" s="67">
        <f>E63-C63</f>
        <v/>
      </c>
      <c r="R63" s="67">
        <f>C63-M63</f>
        <v/>
      </c>
      <c r="S63" s="67">
        <f>C63-O63</f>
        <v/>
      </c>
      <c r="T63" s="67">
        <f>E63-O63</f>
        <v/>
      </c>
      <c r="U63" s="67">
        <f>G63-O63</f>
        <v/>
      </c>
      <c r="V63" s="67">
        <f>G63-K63</f>
        <v/>
      </c>
      <c r="W63" s="67">
        <f>C63-K63</f>
        <v/>
      </c>
      <c r="X63" s="67">
        <f>I63-G63</f>
        <v/>
      </c>
      <c r="Y63" s="75">
        <f>G63-M63</f>
        <v/>
      </c>
    </row>
    <row r="64">
      <c r="A64" s="65" t="n">
        <v>44405</v>
      </c>
      <c r="B64" s="66" t="n">
        <v>36.98</v>
      </c>
      <c r="C64" s="67">
        <f>myParidad('Flujo de Fondos'!$B$5,A64,B64,'Flujo de Fondos'!$B$7,'Flujo de Fondos'!$B$6)</f>
        <v/>
      </c>
      <c r="D64" s="66" t="n">
        <v>40.3</v>
      </c>
      <c r="E64" s="75">
        <f>myParidad('Flujo de Fondos'!$H$5,$A64,D64,'Flujo de Fondos'!$H$7,'Flujo de Fondos'!$H$6)</f>
        <v/>
      </c>
      <c r="F64" s="66" t="n">
        <v>36.01</v>
      </c>
      <c r="G64" s="67">
        <f>myParidad('Flujo de Fondos'!$N$5,$A64,F64,'Flujo de Fondos'!$N$7,'Flujo de Fondos'!$N$6)</f>
        <v/>
      </c>
      <c r="H64" s="68" t="n">
        <v>38.69</v>
      </c>
      <c r="I64" s="67">
        <f>myParidad('Flujo de Fondos'!$T$5,$A64,H64,'Flujo de Fondos'!$T$7,'Flujo de Fondos'!$T$6)</f>
        <v/>
      </c>
      <c r="J64" s="68" t="n">
        <v>33.71</v>
      </c>
      <c r="K64" s="67">
        <f>myParidad('Flujo de Fondos'!$B$34,$A64,J64,'Flujo de Fondos'!$B$36,'Flujo de Fondos'!$B$35)</f>
        <v/>
      </c>
      <c r="L64" s="66" t="n">
        <v>38.45</v>
      </c>
      <c r="M64" s="67">
        <f>myParidad('Flujo de Fondos'!$H$34,'Paridad usd'!$A64,'Paridad usd'!L64,'Flujo de Fondos'!$H$36,'Flujo de Fondos'!$H$35)</f>
        <v/>
      </c>
      <c r="N64" s="68" t="n">
        <v>38</v>
      </c>
      <c r="O64" s="67">
        <f>myParidad('Flujo de Fondos'!$N$34,$A64,N64,'Flujo de Fondos'!$N$36,'Flujo de Fondos'!$N$35)</f>
        <v/>
      </c>
      <c r="P64" s="67">
        <f>C64-G64</f>
        <v/>
      </c>
      <c r="Q64" s="67">
        <f>E64-C64</f>
        <v/>
      </c>
      <c r="R64" s="67">
        <f>C64-M64</f>
        <v/>
      </c>
      <c r="S64" s="67">
        <f>C64-O64</f>
        <v/>
      </c>
      <c r="T64" s="67">
        <f>E64-O64</f>
        <v/>
      </c>
      <c r="U64" s="67">
        <f>G64-O64</f>
        <v/>
      </c>
      <c r="V64" s="67">
        <f>G64-K64</f>
        <v/>
      </c>
      <c r="W64" s="67">
        <f>C64-K64</f>
        <v/>
      </c>
      <c r="X64" s="67">
        <f>I64-G64</f>
        <v/>
      </c>
      <c r="Y64" s="75">
        <f>G64-M64</f>
        <v/>
      </c>
    </row>
    <row r="65">
      <c r="A65" s="65" t="n">
        <v>44404</v>
      </c>
      <c r="B65" s="66" t="n">
        <v>37.05</v>
      </c>
      <c r="C65" s="67">
        <f>myParidad('Flujo de Fondos'!$B$5,A65,B65,'Flujo de Fondos'!$B$7,'Flujo de Fondos'!$B$6)</f>
        <v/>
      </c>
      <c r="D65" s="66" t="n">
        <v>40.3</v>
      </c>
      <c r="E65" s="75">
        <f>myParidad('Flujo de Fondos'!$H$5,$A65,D65,'Flujo de Fondos'!$H$7,'Flujo de Fondos'!$H$6)</f>
        <v/>
      </c>
      <c r="F65" s="66" t="n">
        <v>36.12</v>
      </c>
      <c r="G65" s="67">
        <f>myParidad('Flujo de Fondos'!$N$5,$A65,F65,'Flujo de Fondos'!$N$7,'Flujo de Fondos'!$N$6)</f>
        <v/>
      </c>
      <c r="H65" s="68" t="n">
        <v>38.62</v>
      </c>
      <c r="I65" s="67">
        <f>myParidad('Flujo de Fondos'!$T$5,$A65,H65,'Flujo de Fondos'!$T$7,'Flujo de Fondos'!$T$6)</f>
        <v/>
      </c>
      <c r="J65" s="68" t="n">
        <v>33.45</v>
      </c>
      <c r="K65" s="67">
        <f>myParidad('Flujo de Fondos'!$B$34,$A65,J65,'Flujo de Fondos'!$B$36,'Flujo de Fondos'!$B$35)</f>
        <v/>
      </c>
      <c r="L65" s="66" t="n">
        <v>38.4</v>
      </c>
      <c r="M65" s="67">
        <f>myParidad('Flujo de Fondos'!$H$34,'Paridad usd'!$A65,'Paridad usd'!L65,'Flujo de Fondos'!$H$36,'Flujo de Fondos'!$H$35)</f>
        <v/>
      </c>
      <c r="N65" s="68" t="n">
        <v>38.3</v>
      </c>
      <c r="O65" s="67">
        <f>myParidad('Flujo de Fondos'!$N$34,$A65,N65,'Flujo de Fondos'!$N$36,'Flujo de Fondos'!$N$35)</f>
        <v/>
      </c>
      <c r="P65" s="67">
        <f>C65-G65</f>
        <v/>
      </c>
      <c r="Q65" s="67">
        <f>E65-C65</f>
        <v/>
      </c>
      <c r="R65" s="67">
        <f>C65-M65</f>
        <v/>
      </c>
      <c r="S65" s="67">
        <f>C65-O65</f>
        <v/>
      </c>
      <c r="T65" s="67">
        <f>E65-O65</f>
        <v/>
      </c>
      <c r="U65" s="67">
        <f>G65-O65</f>
        <v/>
      </c>
      <c r="V65" s="67">
        <f>G65-K65</f>
        <v/>
      </c>
      <c r="W65" s="67">
        <f>C65-K65</f>
        <v/>
      </c>
      <c r="X65" s="67">
        <f>I65-G65</f>
        <v/>
      </c>
      <c r="Y65" s="75">
        <f>G65-M65</f>
        <v/>
      </c>
    </row>
    <row r="66">
      <c r="A66" s="65" t="n">
        <v>44403</v>
      </c>
      <c r="B66" s="66" t="n">
        <v>37.06</v>
      </c>
      <c r="C66" s="67">
        <f>myParidad('Flujo de Fondos'!$B$5,A66,B66,'Flujo de Fondos'!$B$7,'Flujo de Fondos'!$B$6)</f>
        <v/>
      </c>
      <c r="D66" s="66" t="n">
        <v>40.55</v>
      </c>
      <c r="E66" s="75">
        <f>myParidad('Flujo de Fondos'!$H$5,$A66,D66,'Flujo de Fondos'!$H$7,'Flujo de Fondos'!$H$6)</f>
        <v/>
      </c>
      <c r="F66" s="66" t="n">
        <v>36.22</v>
      </c>
      <c r="G66" s="67">
        <f>myParidad('Flujo de Fondos'!$N$5,$A66,F66,'Flujo de Fondos'!$N$7,'Flujo de Fondos'!$N$6)</f>
        <v/>
      </c>
      <c r="H66" s="68" t="n">
        <v>38.6</v>
      </c>
      <c r="I66" s="67">
        <f>myParidad('Flujo de Fondos'!$T$5,$A66,H66,'Flujo de Fondos'!$T$7,'Flujo de Fondos'!$T$6)</f>
        <v/>
      </c>
      <c r="J66" s="68" t="n">
        <v>33.5</v>
      </c>
      <c r="K66" s="67">
        <f>myParidad('Flujo de Fondos'!$B$34,$A66,J66,'Flujo de Fondos'!$B$36,'Flujo de Fondos'!$B$35)</f>
        <v/>
      </c>
      <c r="L66" s="66" t="n">
        <v>38.45</v>
      </c>
      <c r="M66" s="67">
        <f>myParidad('Flujo de Fondos'!$H$34,'Paridad usd'!$A66,'Paridad usd'!L66,'Flujo de Fondos'!$H$36,'Flujo de Fondos'!$H$35)</f>
        <v/>
      </c>
      <c r="N66" s="68" t="n">
        <v>38.3</v>
      </c>
      <c r="O66" s="67">
        <f>myParidad('Flujo de Fondos'!$N$34,$A66,N66,'Flujo de Fondos'!$N$36,'Flujo de Fondos'!$N$35)</f>
        <v/>
      </c>
      <c r="P66" s="67">
        <f>C66-G66</f>
        <v/>
      </c>
      <c r="Q66" s="67">
        <f>E66-C66</f>
        <v/>
      </c>
      <c r="R66" s="67">
        <f>C66-M66</f>
        <v/>
      </c>
      <c r="S66" s="67">
        <f>C66-O66</f>
        <v/>
      </c>
      <c r="T66" s="67">
        <f>E66-O66</f>
        <v/>
      </c>
      <c r="U66" s="67">
        <f>G66-O66</f>
        <v/>
      </c>
      <c r="V66" s="67">
        <f>G66-K66</f>
        <v/>
      </c>
      <c r="W66" s="67">
        <f>C66-K66</f>
        <v/>
      </c>
      <c r="X66" s="67">
        <f>I66-G66</f>
        <v/>
      </c>
      <c r="Y66" s="75">
        <f>G66-M66</f>
        <v/>
      </c>
    </row>
    <row r="67">
      <c r="A67" s="65" t="n">
        <v>44400</v>
      </c>
      <c r="B67" s="66" t="n">
        <v>37</v>
      </c>
      <c r="C67" s="67">
        <f>myParidad('Flujo de Fondos'!$B$5,A67,B67,'Flujo de Fondos'!$B$7,'Flujo de Fondos'!$B$6)</f>
        <v/>
      </c>
      <c r="D67" s="66" t="n">
        <v>40.55</v>
      </c>
      <c r="E67" s="75">
        <f>myParidad('Flujo de Fondos'!$H$5,$A67,D67,'Flujo de Fondos'!$H$7,'Flujo de Fondos'!$H$6)</f>
        <v/>
      </c>
      <c r="F67" s="66" t="n">
        <v>36.28</v>
      </c>
      <c r="G67" s="67">
        <f>myParidad('Flujo de Fondos'!$N$5,$A67,F67,'Flujo de Fondos'!$N$7,'Flujo de Fondos'!$N$6)</f>
        <v/>
      </c>
      <c r="H67" s="68" t="n">
        <v>38.95</v>
      </c>
      <c r="I67" s="67">
        <f>myParidad('Flujo de Fondos'!$T$5,$A67,H67,'Flujo de Fondos'!$T$7,'Flujo de Fondos'!$T$6)</f>
        <v/>
      </c>
      <c r="J67" s="68" t="n">
        <v>33.34</v>
      </c>
      <c r="K67" s="67">
        <f>myParidad('Flujo de Fondos'!$B$34,$A67,J67,'Flujo de Fondos'!$B$36,'Flujo de Fondos'!$B$35)</f>
        <v/>
      </c>
      <c r="L67" s="66" t="n">
        <v>38.59</v>
      </c>
      <c r="M67" s="67">
        <f>myParidad('Flujo de Fondos'!$H$34,'Paridad usd'!$A67,'Paridad usd'!L67,'Flujo de Fondos'!$H$36,'Flujo de Fondos'!$H$35)</f>
        <v/>
      </c>
      <c r="N67" s="68" t="n">
        <v>38.5</v>
      </c>
      <c r="O67" s="67">
        <f>myParidad('Flujo de Fondos'!$N$34,$A67,N67,'Flujo de Fondos'!$N$36,'Flujo de Fondos'!$N$35)</f>
        <v/>
      </c>
      <c r="P67" s="67">
        <f>C67-G67</f>
        <v/>
      </c>
      <c r="Q67" s="67">
        <f>E67-C67</f>
        <v/>
      </c>
      <c r="R67" s="67">
        <f>C67-M67</f>
        <v/>
      </c>
      <c r="S67" s="67">
        <f>C67-O67</f>
        <v/>
      </c>
      <c r="T67" s="67">
        <f>E67-O67</f>
        <v/>
      </c>
      <c r="U67" s="67">
        <f>G67-O67</f>
        <v/>
      </c>
      <c r="V67" s="67">
        <f>G67-K67</f>
        <v/>
      </c>
      <c r="W67" s="67">
        <f>C67-K67</f>
        <v/>
      </c>
      <c r="X67" s="67">
        <f>I67-G67</f>
        <v/>
      </c>
      <c r="Y67" s="75">
        <f>G67-M67</f>
        <v/>
      </c>
    </row>
    <row r="68">
      <c r="A68" s="65" t="n">
        <v>44399</v>
      </c>
      <c r="B68" s="66" t="n">
        <v>37.2</v>
      </c>
      <c r="C68" s="67">
        <f>myParidad('Flujo de Fondos'!$B$5,A68,B68,'Flujo de Fondos'!$B$7,'Flujo de Fondos'!$B$6)</f>
        <v/>
      </c>
      <c r="D68" s="66" t="n">
        <v>40.6</v>
      </c>
      <c r="E68" s="75">
        <f>myParidad('Flujo de Fondos'!$H$5,$A68,D68,'Flujo de Fondos'!$H$7,'Flujo de Fondos'!$H$6)</f>
        <v/>
      </c>
      <c r="F68" s="66" t="n">
        <v>36.3</v>
      </c>
      <c r="G68" s="67">
        <f>myParidad('Flujo de Fondos'!$N$5,$A68,F68,'Flujo de Fondos'!$N$7,'Flujo de Fondos'!$N$6)</f>
        <v/>
      </c>
      <c r="H68" s="68" t="n">
        <v>38.58</v>
      </c>
      <c r="I68" s="67">
        <f>myParidad('Flujo de Fondos'!$T$5,$A68,H68,'Flujo de Fondos'!$T$7,'Flujo de Fondos'!$T$6)</f>
        <v/>
      </c>
      <c r="J68" s="68" t="n">
        <v>33.3</v>
      </c>
      <c r="K68" s="67">
        <f>myParidad('Flujo de Fondos'!$B$34,$A68,J68,'Flujo de Fondos'!$B$36,'Flujo de Fondos'!$B$35)</f>
        <v/>
      </c>
      <c r="L68" s="66" t="n">
        <v>38.55</v>
      </c>
      <c r="M68" s="67">
        <f>myParidad('Flujo de Fondos'!$H$34,'Paridad usd'!$A68,'Paridad usd'!L68,'Flujo de Fondos'!$H$36,'Flujo de Fondos'!$H$35)</f>
        <v/>
      </c>
      <c r="N68" s="68" t="n">
        <v>38.21</v>
      </c>
      <c r="O68" s="67">
        <f>myParidad('Flujo de Fondos'!$N$34,$A68,N68,'Flujo de Fondos'!$N$36,'Flujo de Fondos'!$N$35)</f>
        <v/>
      </c>
      <c r="P68" s="67">
        <f>C68-G68</f>
        <v/>
      </c>
      <c r="Q68" s="67">
        <f>E68-C68</f>
        <v/>
      </c>
      <c r="R68" s="67">
        <f>C68-M68</f>
        <v/>
      </c>
      <c r="S68" s="67">
        <f>C68-O68</f>
        <v/>
      </c>
      <c r="T68" s="67">
        <f>E68-O68</f>
        <v/>
      </c>
      <c r="U68" s="67">
        <f>G68-O68</f>
        <v/>
      </c>
      <c r="V68" s="67">
        <f>G68-K68</f>
        <v/>
      </c>
      <c r="W68" s="67">
        <f>C68-K68</f>
        <v/>
      </c>
      <c r="X68" s="67">
        <f>I68-G68</f>
        <v/>
      </c>
      <c r="Y68" s="75">
        <f>G68-M68</f>
        <v/>
      </c>
    </row>
    <row r="69">
      <c r="A69" s="65" t="n">
        <v>44398</v>
      </c>
      <c r="B69" s="66" t="n">
        <v>37.2</v>
      </c>
      <c r="C69" s="67">
        <f>myParidad('Flujo de Fondos'!$B$5,A69,B69,'Flujo de Fondos'!$B$7,'Flujo de Fondos'!$B$6)</f>
        <v/>
      </c>
      <c r="D69" s="66" t="n">
        <v>40.05</v>
      </c>
      <c r="E69" s="75">
        <f>myParidad('Flujo de Fondos'!$H$5,$A69,D69,'Flujo de Fondos'!$H$7,'Flujo de Fondos'!$H$6)</f>
        <v/>
      </c>
      <c r="F69" s="66" t="n">
        <v>36.32</v>
      </c>
      <c r="G69" s="67">
        <f>myParidad('Flujo de Fondos'!$N$5,$A69,F69,'Flujo de Fondos'!$N$7,'Flujo de Fondos'!$N$6)</f>
        <v/>
      </c>
      <c r="H69" s="68" t="n">
        <v>38.39</v>
      </c>
      <c r="I69" s="67">
        <f>myParidad('Flujo de Fondos'!$T$5,$A69,H69,'Flujo de Fondos'!$T$7,'Flujo de Fondos'!$T$6)</f>
        <v/>
      </c>
      <c r="J69" s="68" t="n">
        <v>33.26</v>
      </c>
      <c r="K69" s="67">
        <f>myParidad('Flujo de Fondos'!$B$34,$A69,J69,'Flujo de Fondos'!$B$36,'Flujo de Fondos'!$B$35)</f>
        <v/>
      </c>
      <c r="L69" s="66" t="n">
        <v>38.15</v>
      </c>
      <c r="M69" s="67">
        <f>myParidad('Flujo de Fondos'!$H$34,'Paridad usd'!$A69,'Paridad usd'!L69,'Flujo de Fondos'!$H$36,'Flujo de Fondos'!$H$35)</f>
        <v/>
      </c>
      <c r="N69" s="68" t="n">
        <v>37.85</v>
      </c>
      <c r="O69" s="67">
        <f>myParidad('Flujo de Fondos'!$N$34,$A69,N69,'Flujo de Fondos'!$N$36,'Flujo de Fondos'!$N$35)</f>
        <v/>
      </c>
      <c r="P69" s="67">
        <f>C69-G69</f>
        <v/>
      </c>
      <c r="Q69" s="67">
        <f>E69-C69</f>
        <v/>
      </c>
      <c r="R69" s="67">
        <f>C69-M69</f>
        <v/>
      </c>
      <c r="S69" s="67">
        <f>C69-O69</f>
        <v/>
      </c>
      <c r="T69" s="67">
        <f>E69-O69</f>
        <v/>
      </c>
      <c r="U69" s="67">
        <f>G69-O69</f>
        <v/>
      </c>
      <c r="V69" s="67">
        <f>G69-K69</f>
        <v/>
      </c>
      <c r="W69" s="67">
        <f>C69-K69</f>
        <v/>
      </c>
      <c r="X69" s="67">
        <f>I69-G69</f>
        <v/>
      </c>
      <c r="Y69" s="75">
        <f>G69-M69</f>
        <v/>
      </c>
    </row>
    <row r="70">
      <c r="A70" s="65" t="n">
        <v>44397</v>
      </c>
      <c r="B70" s="66" t="n">
        <v>37</v>
      </c>
      <c r="C70" s="67">
        <f>myParidad('Flujo de Fondos'!$B$5,A70,B70,'Flujo de Fondos'!$B$7,'Flujo de Fondos'!$B$6)</f>
        <v/>
      </c>
      <c r="D70" s="66" t="n">
        <v>40.9</v>
      </c>
      <c r="E70" s="75">
        <f>myParidad('Flujo de Fondos'!$H$5,$A70,D70,'Flujo de Fondos'!$H$7,'Flujo de Fondos'!$H$6)</f>
        <v/>
      </c>
      <c r="F70" s="66" t="n">
        <v>36.19</v>
      </c>
      <c r="G70" s="67">
        <f>myParidad('Flujo de Fondos'!$N$5,$A70,F70,'Flujo de Fondos'!$N$7,'Flujo de Fondos'!$N$6)</f>
        <v/>
      </c>
      <c r="H70" s="68" t="n">
        <v>38.23</v>
      </c>
      <c r="I70" s="67">
        <f>myParidad('Flujo de Fondos'!$T$5,$A70,H70,'Flujo de Fondos'!$T$7,'Flujo de Fondos'!$T$6)</f>
        <v/>
      </c>
      <c r="J70" s="68" t="n">
        <v>33.12</v>
      </c>
      <c r="K70" s="67">
        <f>myParidad('Flujo de Fondos'!$B$34,$A70,J70,'Flujo de Fondos'!$B$36,'Flujo de Fondos'!$B$35)</f>
        <v/>
      </c>
      <c r="L70" s="66" t="n">
        <v>38.2</v>
      </c>
      <c r="M70" s="67">
        <f>myParidad('Flujo de Fondos'!$H$34,'Paridad usd'!$A70,'Paridad usd'!L70,'Flujo de Fondos'!$H$36,'Flujo de Fondos'!$H$35)</f>
        <v/>
      </c>
      <c r="N70" s="68" t="n">
        <v>37.6</v>
      </c>
      <c r="O70" s="67">
        <f>myParidad('Flujo de Fondos'!$N$34,$A70,N70,'Flujo de Fondos'!$N$36,'Flujo de Fondos'!$N$35)</f>
        <v/>
      </c>
      <c r="P70" s="67">
        <f>C70-G70</f>
        <v/>
      </c>
      <c r="Q70" s="67">
        <f>E70-C70</f>
        <v/>
      </c>
      <c r="R70" s="67">
        <f>C70-M70</f>
        <v/>
      </c>
      <c r="S70" s="67">
        <f>C70-O70</f>
        <v/>
      </c>
      <c r="T70" s="67">
        <f>E70-O70</f>
        <v/>
      </c>
      <c r="U70" s="67">
        <f>G70-O70</f>
        <v/>
      </c>
      <c r="V70" s="67">
        <f>G70-K70</f>
        <v/>
      </c>
      <c r="W70" s="67">
        <f>C70-K70</f>
        <v/>
      </c>
      <c r="X70" s="67">
        <f>I70-G70</f>
        <v/>
      </c>
      <c r="Y70" s="75">
        <f>G70-M70</f>
        <v/>
      </c>
    </row>
    <row r="71">
      <c r="A71" s="65" t="n">
        <v>44396</v>
      </c>
      <c r="B71" s="66" t="n">
        <v>36.6</v>
      </c>
      <c r="C71" s="67">
        <f>myParidad('Flujo de Fondos'!$B$5,A71,B71,'Flujo de Fondos'!$B$7,'Flujo de Fondos'!$B$6)</f>
        <v/>
      </c>
      <c r="D71" s="66" t="n">
        <v>39.9</v>
      </c>
      <c r="E71" s="75">
        <f>myParidad('Flujo de Fondos'!$H$5,$A71,D71,'Flujo de Fondos'!$H$7,'Flujo de Fondos'!$H$6)</f>
        <v/>
      </c>
      <c r="F71" s="66" t="n">
        <v>35.84</v>
      </c>
      <c r="G71" s="67">
        <f>myParidad('Flujo de Fondos'!$N$5,$A71,F71,'Flujo de Fondos'!$N$7,'Flujo de Fondos'!$N$6)</f>
        <v/>
      </c>
      <c r="H71" s="68" t="n">
        <v>38.03</v>
      </c>
      <c r="I71" s="67">
        <f>myParidad('Flujo de Fondos'!$T$5,$A71,H71,'Flujo de Fondos'!$T$7,'Flujo de Fondos'!$T$6)</f>
        <v/>
      </c>
      <c r="J71" s="68" t="n">
        <v>32.94</v>
      </c>
      <c r="K71" s="67">
        <f>myParidad('Flujo de Fondos'!$B$34,$A71,J71,'Flujo de Fondos'!$B$36,'Flujo de Fondos'!$B$35)</f>
        <v/>
      </c>
      <c r="L71" s="66" t="n">
        <v>37.65</v>
      </c>
      <c r="M71" s="67">
        <f>myParidad('Flujo de Fondos'!$H$34,'Paridad usd'!$A71,'Paridad usd'!L71,'Flujo de Fondos'!$H$36,'Flujo de Fondos'!$H$35)</f>
        <v/>
      </c>
      <c r="N71" s="68" t="n">
        <v>36.6</v>
      </c>
      <c r="O71" s="67">
        <f>myParidad('Flujo de Fondos'!$N$34,$A71,N71,'Flujo de Fondos'!$N$36,'Flujo de Fondos'!$N$35)</f>
        <v/>
      </c>
      <c r="P71" s="67">
        <f>C71-G71</f>
        <v/>
      </c>
      <c r="Q71" s="67">
        <f>E71-C71</f>
        <v/>
      </c>
      <c r="R71" s="67">
        <f>C71-M71</f>
        <v/>
      </c>
      <c r="S71" s="67">
        <f>C71-O71</f>
        <v/>
      </c>
      <c r="T71" s="67">
        <f>E71-O71</f>
        <v/>
      </c>
      <c r="U71" s="67">
        <f>G71-O71</f>
        <v/>
      </c>
      <c r="V71" s="67">
        <f>G71-K71</f>
        <v/>
      </c>
      <c r="W71" s="67">
        <f>C71-K71</f>
        <v/>
      </c>
      <c r="X71" s="67">
        <f>I71-G71</f>
        <v/>
      </c>
      <c r="Y71" s="75">
        <f>G71-M71</f>
        <v/>
      </c>
    </row>
    <row r="72">
      <c r="A72" s="65" t="n">
        <v>44393</v>
      </c>
      <c r="B72" s="66" t="n">
        <v>36.4</v>
      </c>
      <c r="C72" s="67">
        <f>myParidad('Flujo de Fondos'!$B$5,A72,B72,'Flujo de Fondos'!$B$7,'Flujo de Fondos'!$B$6)</f>
        <v/>
      </c>
      <c r="D72" s="66" t="n">
        <v>39.71</v>
      </c>
      <c r="E72" s="75">
        <f>myParidad('Flujo de Fondos'!$H$5,$A72,D72,'Flujo de Fondos'!$H$7,'Flujo de Fondos'!$H$6)</f>
        <v/>
      </c>
      <c r="F72" s="66" t="n">
        <v>35.57</v>
      </c>
      <c r="G72" s="67">
        <f>myParidad('Flujo de Fondos'!$N$5,$A72,F72,'Flujo de Fondos'!$N$7,'Flujo de Fondos'!$N$6)</f>
        <v/>
      </c>
      <c r="H72" s="68" t="n">
        <v>37.79</v>
      </c>
      <c r="I72" s="67">
        <f>myParidad('Flujo de Fondos'!$T$5,$A72,H72,'Flujo de Fondos'!$T$7,'Flujo de Fondos'!$T$6)</f>
        <v/>
      </c>
      <c r="J72" s="68" t="n">
        <v>32.65</v>
      </c>
      <c r="K72" s="67">
        <f>myParidad('Flujo de Fondos'!$B$34,$A72,J72,'Flujo de Fondos'!$B$36,'Flujo de Fondos'!$B$35)</f>
        <v/>
      </c>
      <c r="L72" s="66" t="n">
        <v>37.2</v>
      </c>
      <c r="M72" s="67">
        <f>myParidad('Flujo de Fondos'!$H$34,'Paridad usd'!$A72,'Paridad usd'!L72,'Flujo de Fondos'!$H$36,'Flujo de Fondos'!$H$35)</f>
        <v/>
      </c>
      <c r="N72" s="68" t="n">
        <v>36.75</v>
      </c>
      <c r="O72" s="67">
        <f>myParidad('Flujo de Fondos'!$N$34,$A72,N72,'Flujo de Fondos'!$N$36,'Flujo de Fondos'!$N$35)</f>
        <v/>
      </c>
      <c r="P72" s="67">
        <f>C72-G72</f>
        <v/>
      </c>
      <c r="Q72" s="67">
        <f>E72-C72</f>
        <v/>
      </c>
      <c r="R72" s="67">
        <f>C72-M72</f>
        <v/>
      </c>
      <c r="S72" s="67">
        <f>C72-O72</f>
        <v/>
      </c>
      <c r="T72" s="67">
        <f>E72-O72</f>
        <v/>
      </c>
      <c r="U72" s="67">
        <f>G72-O72</f>
        <v/>
      </c>
      <c r="V72" s="67">
        <f>G72-K72</f>
        <v/>
      </c>
      <c r="W72" s="67">
        <f>C72-K72</f>
        <v/>
      </c>
      <c r="X72" s="67">
        <f>I72-G72</f>
        <v/>
      </c>
      <c r="Y72" s="75">
        <f>G72-M72</f>
        <v/>
      </c>
    </row>
    <row r="73">
      <c r="A73" s="65" t="n">
        <v>44392</v>
      </c>
      <c r="B73" s="66" t="n">
        <v>36.37</v>
      </c>
      <c r="C73" s="67">
        <f>myParidad('Flujo de Fondos'!$B$5,A73,B73,'Flujo de Fondos'!$B$7,'Flujo de Fondos'!$B$6)</f>
        <v/>
      </c>
      <c r="D73" s="66" t="n">
        <v>39.5</v>
      </c>
      <c r="E73" s="75">
        <f>myParidad('Flujo de Fondos'!$H$5,$A73,D73,'Flujo de Fondos'!$H$7,'Flujo de Fondos'!$H$6)</f>
        <v/>
      </c>
      <c r="F73" s="66" t="n">
        <v>35.29</v>
      </c>
      <c r="G73" s="67">
        <f>myParidad('Flujo de Fondos'!$N$5,$A73,F73,'Flujo de Fondos'!$N$7,'Flujo de Fondos'!$N$6)</f>
        <v/>
      </c>
      <c r="H73" s="68" t="n">
        <v>37.55</v>
      </c>
      <c r="I73" s="67">
        <f>myParidad('Flujo de Fondos'!$T$5,$A73,H73,'Flujo de Fondos'!$T$7,'Flujo de Fondos'!$T$6)</f>
        <v/>
      </c>
      <c r="J73" s="68" t="n">
        <v>32.72</v>
      </c>
      <c r="K73" s="67">
        <f>myParidad('Flujo de Fondos'!$B$34,$A73,J73,'Flujo de Fondos'!$B$36,'Flujo de Fondos'!$B$35)</f>
        <v/>
      </c>
      <c r="L73" s="66" t="n">
        <v>37</v>
      </c>
      <c r="M73" s="67">
        <f>myParidad('Flujo de Fondos'!$H$34,'Paridad usd'!$A73,'Paridad usd'!L73,'Flujo de Fondos'!$H$36,'Flujo de Fondos'!$H$35)</f>
        <v/>
      </c>
      <c r="N73" s="68" t="n">
        <v>36.35</v>
      </c>
      <c r="O73" s="67">
        <f>myParidad('Flujo de Fondos'!$N$34,$A73,N73,'Flujo de Fondos'!$N$36,'Flujo de Fondos'!$N$35)</f>
        <v/>
      </c>
      <c r="P73" s="67">
        <f>C73-G73</f>
        <v/>
      </c>
      <c r="Q73" s="67">
        <f>E73-C73</f>
        <v/>
      </c>
      <c r="R73" s="67">
        <f>C73-M73</f>
        <v/>
      </c>
      <c r="S73" s="67">
        <f>C73-O73</f>
        <v/>
      </c>
      <c r="T73" s="67">
        <f>E73-O73</f>
        <v/>
      </c>
      <c r="U73" s="67">
        <f>G73-O73</f>
        <v/>
      </c>
      <c r="V73" s="67">
        <f>G73-K73</f>
        <v/>
      </c>
      <c r="W73" s="67">
        <f>C73-K73</f>
        <v/>
      </c>
      <c r="X73" s="67">
        <f>I73-G73</f>
        <v/>
      </c>
      <c r="Y73" s="75">
        <f>G73-M73</f>
        <v/>
      </c>
    </row>
    <row r="74">
      <c r="A74" s="65" t="n">
        <v>44391</v>
      </c>
      <c r="B74" s="66" t="n">
        <v>36.4</v>
      </c>
      <c r="C74" s="67">
        <f>myParidad('Flujo de Fondos'!$B$5,A74,B74,'Flujo de Fondos'!$B$7,'Flujo de Fondos'!$B$6)</f>
        <v/>
      </c>
      <c r="D74" s="66" t="n">
        <v>39.5</v>
      </c>
      <c r="E74" s="75">
        <f>myParidad('Flujo de Fondos'!$H$5,$A74,D74,'Flujo de Fondos'!$H$7,'Flujo de Fondos'!$H$6)</f>
        <v/>
      </c>
      <c r="F74" s="66" t="n">
        <v>35.09</v>
      </c>
      <c r="G74" s="67">
        <f>myParidad('Flujo de Fondos'!$N$5,$A74,F74,'Flujo de Fondos'!$N$7,'Flujo de Fondos'!$N$6)</f>
        <v/>
      </c>
      <c r="H74" s="68" t="n">
        <v>37.7</v>
      </c>
      <c r="I74" s="67">
        <f>myParidad('Flujo de Fondos'!$T$5,$A74,H74,'Flujo de Fondos'!$T$7,'Flujo de Fondos'!$T$6)</f>
        <v/>
      </c>
      <c r="J74" s="68" t="n">
        <v>32.6</v>
      </c>
      <c r="K74" s="67">
        <f>myParidad('Flujo de Fondos'!$B$34,$A74,J74,'Flujo de Fondos'!$B$36,'Flujo de Fondos'!$B$35)</f>
        <v/>
      </c>
      <c r="L74" s="66" t="n">
        <v>36.82</v>
      </c>
      <c r="M74" s="67">
        <f>myParidad('Flujo de Fondos'!$H$34,'Paridad usd'!$A74,'Paridad usd'!L74,'Flujo de Fondos'!$H$36,'Flujo de Fondos'!$H$35)</f>
        <v/>
      </c>
      <c r="N74" s="68" t="n">
        <v>36.28</v>
      </c>
      <c r="O74" s="67">
        <f>myParidad('Flujo de Fondos'!$N$34,$A74,N74,'Flujo de Fondos'!$N$36,'Flujo de Fondos'!$N$35)</f>
        <v/>
      </c>
      <c r="P74" s="67">
        <f>C74-G74</f>
        <v/>
      </c>
      <c r="Q74" s="67">
        <f>E74-C74</f>
        <v/>
      </c>
      <c r="R74" s="67">
        <f>C74-M74</f>
        <v/>
      </c>
      <c r="S74" s="67">
        <f>C74-O74</f>
        <v/>
      </c>
      <c r="T74" s="67">
        <f>E74-O74</f>
        <v/>
      </c>
      <c r="U74" s="67">
        <f>G74-O74</f>
        <v/>
      </c>
      <c r="V74" s="67">
        <f>G74-K74</f>
        <v/>
      </c>
      <c r="W74" s="67">
        <f>C74-K74</f>
        <v/>
      </c>
      <c r="X74" s="67">
        <f>I74-G74</f>
        <v/>
      </c>
      <c r="Y74" s="75">
        <f>G74-M74</f>
        <v/>
      </c>
    </row>
    <row r="75">
      <c r="A75" s="65" t="n">
        <v>44390</v>
      </c>
      <c r="B75" s="66" t="n">
        <v>36.05</v>
      </c>
      <c r="C75" s="67">
        <f>myParidad('Flujo de Fondos'!$B$5,A75,B75,'Flujo de Fondos'!$B$7,'Flujo de Fondos'!$B$6)</f>
        <v/>
      </c>
      <c r="D75" s="66" t="n">
        <v>39.31</v>
      </c>
      <c r="E75" s="75">
        <f>myParidad('Flujo de Fondos'!$H$5,$A75,D75,'Flujo de Fondos'!$H$7,'Flujo de Fondos'!$H$6)</f>
        <v/>
      </c>
      <c r="F75" s="66" t="n">
        <v>34.75</v>
      </c>
      <c r="G75" s="67">
        <f>myParidad('Flujo de Fondos'!$N$5,$A75,F75,'Flujo de Fondos'!$N$7,'Flujo de Fondos'!$N$6)</f>
        <v/>
      </c>
      <c r="H75" s="68" t="n">
        <v>37.41</v>
      </c>
      <c r="I75" s="67">
        <f>myParidad('Flujo de Fondos'!$T$5,$A75,H75,'Flujo de Fondos'!$T$7,'Flujo de Fondos'!$T$6)</f>
        <v/>
      </c>
      <c r="J75" s="68" t="n">
        <v>32.75</v>
      </c>
      <c r="K75" s="67">
        <f>myParidad('Flujo de Fondos'!$B$34,$A75,J75,'Flujo de Fondos'!$B$36,'Flujo de Fondos'!$B$35)</f>
        <v/>
      </c>
      <c r="L75" s="66" t="n">
        <v>36.5</v>
      </c>
      <c r="M75" s="67">
        <f>myParidad('Flujo de Fondos'!$H$34,'Paridad usd'!$A75,'Paridad usd'!L75,'Flujo de Fondos'!$H$36,'Flujo de Fondos'!$H$35)</f>
        <v/>
      </c>
      <c r="N75" s="68" t="n">
        <v>36</v>
      </c>
      <c r="O75" s="67">
        <f>myParidad('Flujo de Fondos'!$N$34,$A75,N75,'Flujo de Fondos'!$N$36,'Flujo de Fondos'!$N$35)</f>
        <v/>
      </c>
      <c r="P75" s="67">
        <f>C75-G75</f>
        <v/>
      </c>
      <c r="Q75" s="67">
        <f>E75-C75</f>
        <v/>
      </c>
      <c r="R75" s="67">
        <f>C75-M75</f>
        <v/>
      </c>
      <c r="S75" s="67">
        <f>C75-O75</f>
        <v/>
      </c>
      <c r="T75" s="67">
        <f>E75-O75</f>
        <v/>
      </c>
      <c r="U75" s="67">
        <f>G75-O75</f>
        <v/>
      </c>
      <c r="V75" s="67">
        <f>G75-K75</f>
        <v/>
      </c>
      <c r="W75" s="67">
        <f>C75-K75</f>
        <v/>
      </c>
      <c r="X75" s="67">
        <f>I75-G75</f>
        <v/>
      </c>
      <c r="Y75" s="75">
        <f>G75-M75</f>
        <v/>
      </c>
    </row>
    <row r="76">
      <c r="A76" s="65" t="n">
        <v>44389</v>
      </c>
      <c r="B76" s="66" t="n">
        <v>35.8</v>
      </c>
      <c r="C76" s="67">
        <f>myParidad('Flujo de Fondos'!$B$5,A76,B76,'Flujo de Fondos'!$B$7,'Flujo de Fondos'!$B$6)</f>
        <v/>
      </c>
      <c r="D76" s="66" t="n">
        <v>39.15</v>
      </c>
      <c r="E76" s="75">
        <f>myParidad('Flujo de Fondos'!$H$5,$A76,D76,'Flujo de Fondos'!$H$7,'Flujo de Fondos'!$H$6)</f>
        <v/>
      </c>
      <c r="F76" s="66" t="n">
        <v>34.29</v>
      </c>
      <c r="G76" s="67">
        <f>myParidad('Flujo de Fondos'!$N$5,$A76,F76,'Flujo de Fondos'!$N$7,'Flujo de Fondos'!$N$6)</f>
        <v/>
      </c>
      <c r="H76" s="68" t="n">
        <v>37.1</v>
      </c>
      <c r="I76" s="67">
        <f>myParidad('Flujo de Fondos'!$T$5,$A76,H76,'Flujo de Fondos'!$T$7,'Flujo de Fondos'!$T$6)</f>
        <v/>
      </c>
      <c r="J76" s="68" t="n">
        <v>31.9</v>
      </c>
      <c r="K76" s="67">
        <f>myParidad('Flujo de Fondos'!$B$34,$A76,J76,'Flujo de Fondos'!$B$36,'Flujo de Fondos'!$B$35)</f>
        <v/>
      </c>
      <c r="L76" s="66" t="n">
        <v>35.96</v>
      </c>
      <c r="M76" s="67">
        <f>myParidad('Flujo de Fondos'!$H$34,'Paridad usd'!$A76,'Paridad usd'!L76,'Flujo de Fondos'!$H$36,'Flujo de Fondos'!$H$35)</f>
        <v/>
      </c>
      <c r="N76" s="68" t="n">
        <v>35.25</v>
      </c>
      <c r="O76" s="67">
        <f>myParidad('Flujo de Fondos'!$N$34,$A76,N76,'Flujo de Fondos'!$N$36,'Flujo de Fondos'!$N$35)</f>
        <v/>
      </c>
      <c r="P76" s="67">
        <f>C76-G76</f>
        <v/>
      </c>
      <c r="Q76" s="67">
        <f>E76-C76</f>
        <v/>
      </c>
      <c r="R76" s="67">
        <f>C76-M76</f>
        <v/>
      </c>
      <c r="S76" s="67">
        <f>C76-O76</f>
        <v/>
      </c>
      <c r="T76" s="67">
        <f>E76-O76</f>
        <v/>
      </c>
      <c r="U76" s="67">
        <f>G76-O76</f>
        <v/>
      </c>
      <c r="V76" s="67">
        <f>G76-K76</f>
        <v/>
      </c>
      <c r="W76" s="67">
        <f>C76-K76</f>
        <v/>
      </c>
      <c r="X76" s="67">
        <f>I76-G76</f>
        <v/>
      </c>
      <c r="Y76" s="75">
        <f>G76-M76</f>
        <v/>
      </c>
    </row>
    <row r="77">
      <c r="A77" s="52" t="n">
        <v>44385</v>
      </c>
      <c r="B77" s="53" t="n">
        <v>35.54</v>
      </c>
      <c r="C77" s="54">
        <f>myParidad('Flujo de Fondos'!$B$5,A77,B77,'Flujo de Fondos'!$B$7,'Flujo de Fondos'!$B$6)</f>
        <v/>
      </c>
      <c r="D77" s="53" t="n">
        <v>39.04</v>
      </c>
      <c r="E77" s="55">
        <f>myParidad('Flujo de Fondos'!$H$5,$A77,D77,'Flujo de Fondos'!$H$7,'Flujo de Fondos'!$H$6)</f>
        <v/>
      </c>
      <c r="F77" s="53" t="n">
        <v>33.86</v>
      </c>
      <c r="G77" s="54">
        <f>myParidad('Flujo de Fondos'!$N$5,$A77,F77,'Flujo de Fondos'!$N$7,'Flujo de Fondos'!$N$6)</f>
        <v/>
      </c>
      <c r="H77" s="56" t="n">
        <v>36.85</v>
      </c>
      <c r="I77" s="54">
        <f>myParidad('Flujo de Fondos'!$T$5,$A77,H77,'Flujo de Fondos'!$T$7,'Flujo de Fondos'!$T$6)</f>
        <v/>
      </c>
      <c r="J77" s="56" t="n">
        <v>31.5</v>
      </c>
      <c r="K77" s="54">
        <f>myParidad('Flujo de Fondos'!$B$34,$A77,J77,'Flujo de Fondos'!$B$36,'Flujo de Fondos'!$B$35)</f>
        <v/>
      </c>
      <c r="L77" s="53" t="n">
        <v>35.66</v>
      </c>
      <c r="M77" s="54">
        <f>myParidad('Flujo de Fondos'!$H$34,'Paridad usd'!$A77,'Paridad usd'!L77,'Flujo de Fondos'!$H$36,'Flujo de Fondos'!$H$35)</f>
        <v/>
      </c>
      <c r="N77" s="56" t="n">
        <v>35.05</v>
      </c>
      <c r="O77" s="54">
        <f>myParidad('Flujo de Fondos'!$N$34,$A77,N77,'Flujo de Fondos'!$N$36,'Flujo de Fondos'!$N$35)</f>
        <v/>
      </c>
      <c r="P77" s="57">
        <f>C77-G77</f>
        <v/>
      </c>
      <c r="Q77" s="57">
        <f>E77-C77</f>
        <v/>
      </c>
      <c r="R77" s="57">
        <f>C77-M77</f>
        <v/>
      </c>
      <c r="S77" s="55">
        <f>C77-O77</f>
        <v/>
      </c>
      <c r="T77" s="57">
        <f>E77-O77</f>
        <v/>
      </c>
      <c r="U77" s="57">
        <f>G77-O77</f>
        <v/>
      </c>
      <c r="V77" s="57">
        <f>G77-K77</f>
        <v/>
      </c>
      <c r="W77" s="57">
        <f>C77-K77</f>
        <v/>
      </c>
      <c r="X77" s="67">
        <f>I77-G77</f>
        <v/>
      </c>
      <c r="Y77" s="75">
        <f>G77-M77</f>
        <v/>
      </c>
    </row>
    <row r="78">
      <c r="A78" s="52" t="n">
        <v>44384</v>
      </c>
      <c r="B78" s="53" t="n">
        <v>35.6</v>
      </c>
      <c r="C78" s="54">
        <f>myParidad('Flujo de Fondos'!$B$5,A78,B78,'Flujo de Fondos'!$B$7,'Flujo de Fondos'!$B$6)</f>
        <v/>
      </c>
      <c r="D78" s="53" t="n">
        <v>38.9</v>
      </c>
      <c r="E78" s="55">
        <f>myParidad('Flujo de Fondos'!$H$5,$A78,D78,'Flujo de Fondos'!$H$7,'Flujo de Fondos'!$H$6)</f>
        <v/>
      </c>
      <c r="F78" s="53" t="n">
        <v>33.76</v>
      </c>
      <c r="G78" s="54">
        <f>myParidad('Flujo de Fondos'!$N$5,$A78,F78,'Flujo de Fondos'!$N$7,'Flujo de Fondos'!$N$6)</f>
        <v/>
      </c>
      <c r="H78" s="56" t="n">
        <v>37.01</v>
      </c>
      <c r="I78" s="54">
        <f>myParidad('Flujo de Fondos'!$T$5,$A78,H78,'Flujo de Fondos'!$T$7,'Flujo de Fondos'!$T$6)</f>
        <v/>
      </c>
      <c r="J78" s="56" t="n">
        <v>31.26</v>
      </c>
      <c r="K78" s="54">
        <f>myParidad('Flujo de Fondos'!$B$34,$A78,J78,'Flujo de Fondos'!$B$36,'Flujo de Fondos'!$B$35)</f>
        <v/>
      </c>
      <c r="L78" s="53" t="n">
        <v>35.7</v>
      </c>
      <c r="M78" s="54">
        <f>myParidad('Flujo de Fondos'!$H$34,'Paridad usd'!$A78,'Paridad usd'!L78,'Flujo de Fondos'!$H$36,'Flujo de Fondos'!$H$35)</f>
        <v/>
      </c>
      <c r="N78" s="56" t="n">
        <v>34.7</v>
      </c>
      <c r="O78" s="54">
        <f>myParidad('Flujo de Fondos'!$N$34,$A78,N78,'Flujo de Fondos'!$N$36,'Flujo de Fondos'!$N$35)</f>
        <v/>
      </c>
      <c r="P78" s="57">
        <f>C78-G78</f>
        <v/>
      </c>
      <c r="Q78" s="57">
        <f>E78-C78</f>
        <v/>
      </c>
      <c r="R78" s="57">
        <f>C78-M78</f>
        <v/>
      </c>
      <c r="S78" s="55">
        <f>C78-O78</f>
        <v/>
      </c>
      <c r="T78" s="57">
        <f>E78-O78</f>
        <v/>
      </c>
      <c r="U78" s="57">
        <f>G78-O78</f>
        <v/>
      </c>
      <c r="V78" s="57">
        <f>G78-K78</f>
        <v/>
      </c>
      <c r="W78" s="57">
        <f>C78-K78</f>
        <v/>
      </c>
      <c r="X78" s="67">
        <f>I78-G78</f>
        <v/>
      </c>
      <c r="Y78" s="75">
        <f>G78-M78</f>
        <v/>
      </c>
    </row>
    <row r="79">
      <c r="A79" s="52" t="n">
        <v>44383</v>
      </c>
      <c r="B79" s="53" t="n">
        <v>36.3</v>
      </c>
      <c r="C79" s="54">
        <f>myParidad('Flujo de Fondos'!$B$5,A79,B79,'Flujo de Fondos'!$B$7,'Flujo de Fondos'!$B$6)</f>
        <v/>
      </c>
      <c r="D79" s="53" t="n">
        <v>39.8</v>
      </c>
      <c r="E79" s="55">
        <f>myParidad('Flujo de Fondos'!$H$5,$A79,D79,'Flujo de Fondos'!$H$7,'Flujo de Fondos'!$H$6)</f>
        <v/>
      </c>
      <c r="F79" s="53" t="n">
        <v>33.77</v>
      </c>
      <c r="G79" s="54">
        <f>myParidad('Flujo de Fondos'!$N$5,$A79,F79,'Flujo de Fondos'!$N$7,'Flujo de Fondos'!$N$6)</f>
        <v/>
      </c>
      <c r="H79" s="56" t="n">
        <v>37.02</v>
      </c>
      <c r="I79" s="54">
        <f>myParidad('Flujo de Fondos'!$T$5,$A79,H79,'Flujo de Fondos'!$T$7,'Flujo de Fondos'!$T$6)</f>
        <v/>
      </c>
      <c r="J79" s="56" t="n">
        <v>31.08</v>
      </c>
      <c r="K79" s="54">
        <f>myParidad('Flujo de Fondos'!$B$34,$A79,J79,'Flujo de Fondos'!$B$36,'Flujo de Fondos'!$B$35)</f>
        <v/>
      </c>
      <c r="L79" s="53" t="n">
        <v>35.4</v>
      </c>
      <c r="M79" s="54">
        <f>myParidad('Flujo de Fondos'!$H$34,'Paridad usd'!$A79,'Paridad usd'!L79,'Flujo de Fondos'!$H$36,'Flujo de Fondos'!$H$35)</f>
        <v/>
      </c>
      <c r="N79" s="56" t="n">
        <v>34.6</v>
      </c>
      <c r="O79" s="54">
        <f>myParidad('Flujo de Fondos'!$N$34,$A79,N79,'Flujo de Fondos'!$N$36,'Flujo de Fondos'!$N$35)</f>
        <v/>
      </c>
      <c r="P79" s="57">
        <f>C79-G79</f>
        <v/>
      </c>
      <c r="Q79" s="57">
        <f>E79-C79</f>
        <v/>
      </c>
      <c r="R79" s="57">
        <f>C79-M79</f>
        <v/>
      </c>
      <c r="S79" s="55">
        <f>C79-O79</f>
        <v/>
      </c>
      <c r="T79" s="57">
        <f>E79-O79</f>
        <v/>
      </c>
      <c r="U79" s="57">
        <f>G79-O79</f>
        <v/>
      </c>
      <c r="V79" s="57">
        <f>G79-K79</f>
        <v/>
      </c>
      <c r="W79" s="57">
        <f>C79-K79</f>
        <v/>
      </c>
      <c r="X79" s="67">
        <f>I79-G79</f>
        <v/>
      </c>
      <c r="Y79" s="75">
        <f>G79-M79</f>
        <v/>
      </c>
    </row>
    <row r="80">
      <c r="A80" s="52" t="n">
        <v>44382</v>
      </c>
      <c r="B80" s="53" t="n">
        <v>36.4</v>
      </c>
      <c r="C80" s="54">
        <f>myParidad('Flujo de Fondos'!$B$5,A80,B80,'Flujo de Fondos'!$B$7,'Flujo de Fondos'!$B$6)</f>
        <v/>
      </c>
      <c r="D80" s="53" t="n">
        <v>39.55</v>
      </c>
      <c r="E80" s="55">
        <f>myParidad('Flujo de Fondos'!$H$5,$A80,D80,'Flujo de Fondos'!$H$7,'Flujo de Fondos'!$H$6)</f>
        <v/>
      </c>
      <c r="F80" s="53" t="n">
        <v>33.8</v>
      </c>
      <c r="G80" s="54">
        <f>myParidad('Flujo de Fondos'!$N$5,$A80,F80,'Flujo de Fondos'!$N$7,'Flujo de Fondos'!$N$6)</f>
        <v/>
      </c>
      <c r="H80" s="56" t="n">
        <v>37.45</v>
      </c>
      <c r="I80" s="54">
        <f>myParidad('Flujo de Fondos'!$T$5,$A80,H80,'Flujo de Fondos'!$T$7,'Flujo de Fondos'!$T$6)</f>
        <v/>
      </c>
      <c r="J80" s="56" t="n">
        <v>31.5</v>
      </c>
      <c r="K80" s="54">
        <f>myParidad('Flujo de Fondos'!$B$34,$A80,J80,'Flujo de Fondos'!$B$36,'Flujo de Fondos'!$B$35)</f>
        <v/>
      </c>
      <c r="L80" s="53" t="n">
        <v>35.66</v>
      </c>
      <c r="M80" s="54">
        <f>myParidad('Flujo de Fondos'!$H$34,'Paridad usd'!$A80,'Paridad usd'!L80,'Flujo de Fondos'!$H$36,'Flujo de Fondos'!$H$35)</f>
        <v/>
      </c>
      <c r="N80" s="56" t="n">
        <v>34.9</v>
      </c>
      <c r="O80" s="54">
        <f>myParidad('Flujo de Fondos'!$N$34,$A80,N80,'Flujo de Fondos'!$N$36,'Flujo de Fondos'!$N$35)</f>
        <v/>
      </c>
      <c r="P80" s="57">
        <f>C80-G80</f>
        <v/>
      </c>
      <c r="Q80" s="57">
        <f>E80-C80</f>
        <v/>
      </c>
      <c r="R80" s="57">
        <f>C80-M80</f>
        <v/>
      </c>
      <c r="S80" s="55">
        <f>C80-O80</f>
        <v/>
      </c>
      <c r="T80" s="57">
        <f>E80-O80</f>
        <v/>
      </c>
      <c r="U80" s="57">
        <f>G80-O80</f>
        <v/>
      </c>
      <c r="V80" s="57">
        <f>G80-K80</f>
        <v/>
      </c>
      <c r="W80" s="57">
        <f>C80-K80</f>
        <v/>
      </c>
      <c r="X80" s="67">
        <f>I80-G80</f>
        <v/>
      </c>
      <c r="Y80" s="75">
        <f>G80-M80</f>
        <v/>
      </c>
    </row>
    <row r="81">
      <c r="A81" s="52" t="n">
        <v>44379</v>
      </c>
      <c r="B81" s="53" t="n">
        <v>36.5</v>
      </c>
      <c r="C81" s="54">
        <f>myParidad('Flujo de Fondos'!$B$5,A81,B81,'Flujo de Fondos'!$B$7,'Flujo de Fondos'!$B$6)</f>
        <v/>
      </c>
      <c r="D81" s="53" t="n">
        <v>39.7</v>
      </c>
      <c r="E81" s="55">
        <f>myParidad('Flujo de Fondos'!$H$5,$A81,D81,'Flujo de Fondos'!$H$7,'Flujo de Fondos'!$H$6)</f>
        <v/>
      </c>
      <c r="F81" s="53" t="n">
        <v>34.06</v>
      </c>
      <c r="G81" s="54">
        <f>myParidad('Flujo de Fondos'!$N$5,$A81,F81,'Flujo de Fondos'!$N$7,'Flujo de Fondos'!$N$6)</f>
        <v/>
      </c>
      <c r="H81" s="56" t="n">
        <v>37.22</v>
      </c>
      <c r="I81" s="54">
        <f>myParidad('Flujo de Fondos'!$T$5,$A81,H81,'Flujo de Fondos'!$T$7,'Flujo de Fondos'!$T$6)</f>
        <v/>
      </c>
      <c r="J81" s="56" t="n">
        <v>31.75</v>
      </c>
      <c r="K81" s="54">
        <f>myParidad('Flujo de Fondos'!$B$34,$A81,J81,'Flujo de Fondos'!$B$36,'Flujo de Fondos'!$B$35)</f>
        <v/>
      </c>
      <c r="L81" s="53" t="n">
        <v>35.73</v>
      </c>
      <c r="M81" s="54">
        <f>myParidad('Flujo de Fondos'!$H$34,'Paridad usd'!$A81,'Paridad usd'!L81,'Flujo de Fondos'!$H$36,'Flujo de Fondos'!$H$35)</f>
        <v/>
      </c>
      <c r="N81" s="56" t="n">
        <v>34.75</v>
      </c>
      <c r="O81" s="54">
        <f>myParidad('Flujo de Fondos'!$N$34,$A81,N81,'Flujo de Fondos'!$N$36,'Flujo de Fondos'!$N$35)</f>
        <v/>
      </c>
      <c r="P81" s="57">
        <f>C81-G81</f>
        <v/>
      </c>
      <c r="Q81" s="57">
        <f>E81-C81</f>
        <v/>
      </c>
      <c r="R81" s="57">
        <f>C81-M81</f>
        <v/>
      </c>
      <c r="S81" s="55">
        <f>C81-O81</f>
        <v/>
      </c>
      <c r="T81" s="57">
        <f>E81-O81</f>
        <v/>
      </c>
      <c r="U81" s="57">
        <f>G81-O81</f>
        <v/>
      </c>
      <c r="V81" s="57">
        <f>G81-K81</f>
        <v/>
      </c>
      <c r="W81" s="57">
        <f>C81-K81</f>
        <v/>
      </c>
      <c r="X81" s="67">
        <f>I81-G81</f>
        <v/>
      </c>
      <c r="Y81" s="75">
        <f>G81-M81</f>
        <v/>
      </c>
    </row>
    <row r="82">
      <c r="A82" s="52" t="n">
        <v>44378</v>
      </c>
      <c r="B82" s="53" t="n">
        <v>36.25</v>
      </c>
      <c r="C82" s="54">
        <f>myParidad('Flujo de Fondos'!$B$5,A82,B82,'Flujo de Fondos'!$B$7,'Flujo de Fondos'!$B$6)</f>
        <v/>
      </c>
      <c r="D82" s="53" t="n">
        <v>40</v>
      </c>
      <c r="E82" s="55">
        <f>myParidad('Flujo de Fondos'!$H$5,$A82,D82,'Flujo de Fondos'!$H$7,'Flujo de Fondos'!$H$6)</f>
        <v/>
      </c>
      <c r="F82" s="53" t="n">
        <v>33.8</v>
      </c>
      <c r="G82" s="54">
        <f>myParidad('Flujo de Fondos'!$N$5,$A82,F82,'Flujo de Fondos'!$N$7,'Flujo de Fondos'!$N$6)</f>
        <v/>
      </c>
      <c r="H82" s="56" t="n">
        <v>37.54</v>
      </c>
      <c r="I82" s="54">
        <f>myParidad('Flujo de Fondos'!$T$5,$A82,H82,'Flujo de Fondos'!$T$7,'Flujo de Fondos'!$T$6)</f>
        <v/>
      </c>
      <c r="J82" s="56" t="n">
        <v>31.35</v>
      </c>
      <c r="K82" s="54">
        <f>myParidad('Flujo de Fondos'!$B$34,$A82,J82,'Flujo de Fondos'!$B$36,'Flujo de Fondos'!$B$35)</f>
        <v/>
      </c>
      <c r="L82" s="53" t="n">
        <v>35.25</v>
      </c>
      <c r="M82" s="54">
        <f>myParidad('Flujo de Fondos'!$H$34,'Paridad usd'!$A82,'Paridad usd'!L82,'Flujo de Fondos'!$H$36,'Flujo de Fondos'!$H$35)</f>
        <v/>
      </c>
      <c r="N82" s="56" t="n">
        <v>34.35</v>
      </c>
      <c r="O82" s="54">
        <f>myParidad('Flujo de Fondos'!$N$34,$A82,N82,'Flujo de Fondos'!$N$36,'Flujo de Fondos'!$N$35)</f>
        <v/>
      </c>
      <c r="P82" s="57">
        <f>C82-G82</f>
        <v/>
      </c>
      <c r="Q82" s="57">
        <f>E82-C82</f>
        <v/>
      </c>
      <c r="R82" s="57">
        <f>C82-M82</f>
        <v/>
      </c>
      <c r="S82" s="55">
        <f>C82-O82</f>
        <v/>
      </c>
      <c r="T82" s="57">
        <f>E82-O82</f>
        <v/>
      </c>
      <c r="U82" s="57">
        <f>G82-O82</f>
        <v/>
      </c>
      <c r="V82" s="57">
        <f>G82-K82</f>
        <v/>
      </c>
      <c r="W82" s="57">
        <f>C82-K82</f>
        <v/>
      </c>
      <c r="X82" s="67">
        <f>I82-G82</f>
        <v/>
      </c>
      <c r="Y82" s="75">
        <f>G82-M82</f>
        <v/>
      </c>
    </row>
    <row r="83">
      <c r="A83" s="52" t="n">
        <v>44377</v>
      </c>
      <c r="B83" s="53" t="n">
        <v>36.36</v>
      </c>
      <c r="C83" s="54">
        <f>myParidad('Flujo de Fondos'!$B$5,A83,B83,'Flujo de Fondos'!$B$7,'Flujo de Fondos'!$B$6)</f>
        <v/>
      </c>
      <c r="D83" s="53" t="n">
        <v>39.55</v>
      </c>
      <c r="E83" s="55">
        <f>myParidad('Flujo de Fondos'!$H$5,$A83,D83,'Flujo de Fondos'!$H$7,'Flujo de Fondos'!$H$6)</f>
        <v/>
      </c>
      <c r="F83" s="53" t="n">
        <v>33.93</v>
      </c>
      <c r="G83" s="54">
        <f>myParidad('Flujo de Fondos'!$N$5,$A83,F83,'Flujo de Fondos'!$N$7,'Flujo de Fondos'!$N$6)</f>
        <v/>
      </c>
      <c r="H83" s="56" t="n">
        <v>37.59</v>
      </c>
      <c r="I83" s="54">
        <f>myParidad('Flujo de Fondos'!$T$5,$A83,H83,'Flujo de Fondos'!$T$7,'Flujo de Fondos'!$T$6)</f>
        <v/>
      </c>
      <c r="J83" s="56" t="n">
        <v>31.3</v>
      </c>
      <c r="K83" s="54">
        <f>myParidad('Flujo de Fondos'!$B$34,$A83,J83,'Flujo de Fondos'!$B$36,'Flujo de Fondos'!$B$35)</f>
        <v/>
      </c>
      <c r="L83" s="53" t="n">
        <v>35.01</v>
      </c>
      <c r="M83" s="54">
        <f>myParidad('Flujo de Fondos'!$H$34,'Paridad usd'!$A83,'Paridad usd'!L83,'Flujo de Fondos'!$H$36,'Flujo de Fondos'!$H$35)</f>
        <v/>
      </c>
      <c r="N83" s="56" t="n">
        <v>33.9</v>
      </c>
      <c r="O83" s="54">
        <f>myParidad('Flujo de Fondos'!$N$34,$A83,N83,'Flujo de Fondos'!$N$36,'Flujo de Fondos'!$N$35)</f>
        <v/>
      </c>
      <c r="P83" s="57">
        <f>C83-G83</f>
        <v/>
      </c>
      <c r="Q83" s="57">
        <f>E83-C83</f>
        <v/>
      </c>
      <c r="R83" s="57">
        <f>C83-M83</f>
        <v/>
      </c>
      <c r="S83" s="55">
        <f>C83-O83</f>
        <v/>
      </c>
      <c r="T83" s="57">
        <f>E83-O83</f>
        <v/>
      </c>
      <c r="U83" s="57">
        <f>G83-O83</f>
        <v/>
      </c>
      <c r="V83" s="57">
        <f>G83-K83</f>
        <v/>
      </c>
      <c r="W83" s="57">
        <f>C83-K83</f>
        <v/>
      </c>
      <c r="X83" s="67">
        <f>I83-G83</f>
        <v/>
      </c>
      <c r="Y83" s="75">
        <f>G83-M83</f>
        <v/>
      </c>
    </row>
    <row r="84">
      <c r="A84" s="52" t="n">
        <v>44376</v>
      </c>
      <c r="B84" s="53" t="n">
        <v>36.72</v>
      </c>
      <c r="C84" s="54">
        <f>myParidad('Flujo de Fondos'!$B$5,A84,B84,'Flujo de Fondos'!$B$7,'Flujo de Fondos'!$B$6)</f>
        <v/>
      </c>
      <c r="D84" s="53" t="n">
        <v>39.5</v>
      </c>
      <c r="E84" s="55">
        <f>myParidad('Flujo de Fondos'!$H$5,$A84,D84,'Flujo de Fondos'!$H$7,'Flujo de Fondos'!$H$6)</f>
        <v/>
      </c>
      <c r="F84" s="53" t="n">
        <v>34.15</v>
      </c>
      <c r="G84" s="54">
        <f>myParidad('Flujo de Fondos'!$N$5,$A84,F84,'Flujo de Fondos'!$N$7,'Flujo de Fondos'!$N$6)</f>
        <v/>
      </c>
      <c r="H84" s="56" t="n">
        <v>37.4</v>
      </c>
      <c r="I84" s="54">
        <f>myParidad('Flujo de Fondos'!$T$5,$A84,H84,'Flujo de Fondos'!$T$7,'Flujo de Fondos'!$T$6)</f>
        <v/>
      </c>
      <c r="J84" s="56" t="n">
        <v>31.4</v>
      </c>
      <c r="K84" s="54">
        <f>myParidad('Flujo de Fondos'!$B$34,$A84,J84,'Flujo de Fondos'!$B$36,'Flujo de Fondos'!$B$35)</f>
        <v/>
      </c>
      <c r="L84" s="53" t="n">
        <v>35.35</v>
      </c>
      <c r="M84" s="54">
        <f>myParidad('Flujo de Fondos'!$H$34,'Paridad usd'!$A84,'Paridad usd'!L84,'Flujo de Fondos'!$H$36,'Flujo de Fondos'!$H$35)</f>
        <v/>
      </c>
      <c r="N84" s="56" t="n">
        <v>34.1</v>
      </c>
      <c r="O84" s="54">
        <f>myParidad('Flujo de Fondos'!$N$34,$A84,N84,'Flujo de Fondos'!$N$36,'Flujo de Fondos'!$N$35)</f>
        <v/>
      </c>
      <c r="P84" s="57">
        <f>C84-G84</f>
        <v/>
      </c>
      <c r="Q84" s="57">
        <f>E84-C84</f>
        <v/>
      </c>
      <c r="R84" s="57">
        <f>C84-M84</f>
        <v/>
      </c>
      <c r="S84" s="55">
        <f>C84-O84</f>
        <v/>
      </c>
      <c r="T84" s="57">
        <f>E84-O84</f>
        <v/>
      </c>
      <c r="U84" s="57">
        <f>G84-O84</f>
        <v/>
      </c>
      <c r="V84" s="57">
        <f>G84-K84</f>
        <v/>
      </c>
      <c r="W84" s="57">
        <f>C84-K84</f>
        <v/>
      </c>
      <c r="X84" s="67">
        <f>I84-G84</f>
        <v/>
      </c>
      <c r="Y84" s="75">
        <f>G84-M84</f>
        <v/>
      </c>
    </row>
    <row r="85">
      <c r="A85" s="52" t="n">
        <v>44375</v>
      </c>
      <c r="B85" s="53" t="n">
        <v>37.24</v>
      </c>
      <c r="C85" s="54">
        <f>myParidad('Flujo de Fondos'!$B$5,A85,B85,'Flujo de Fondos'!$B$7,'Flujo de Fondos'!$B$6)</f>
        <v/>
      </c>
      <c r="D85" s="53" t="n">
        <v>40.5</v>
      </c>
      <c r="E85" s="55">
        <f>myParidad('Flujo de Fondos'!$H$5,$A85,D85,'Flujo de Fondos'!$H$7,'Flujo de Fondos'!$H$6)</f>
        <v/>
      </c>
      <c r="F85" s="53" t="n">
        <v>34.85</v>
      </c>
      <c r="G85" s="54">
        <f>myParidad('Flujo de Fondos'!$N$5,$A85,F85,'Flujo de Fondos'!$N$7,'Flujo de Fondos'!$N$6)</f>
        <v/>
      </c>
      <c r="H85" s="56" t="n">
        <v>37.53</v>
      </c>
      <c r="I85" s="54">
        <f>myParidad('Flujo de Fondos'!$T$5,$A85,H85,'Flujo de Fondos'!$T$7,'Flujo de Fondos'!$T$6)</f>
        <v/>
      </c>
      <c r="J85" s="56" t="n">
        <v>32</v>
      </c>
      <c r="K85" s="54">
        <f>myParidad('Flujo de Fondos'!$B$34,$A85,J85,'Flujo de Fondos'!$B$36,'Flujo de Fondos'!$B$35)</f>
        <v/>
      </c>
      <c r="L85" s="53" t="n">
        <v>36</v>
      </c>
      <c r="M85" s="54">
        <f>myParidad('Flujo de Fondos'!$H$34,'Paridad usd'!$A85,'Paridad usd'!L85,'Flujo de Fondos'!$H$36,'Flujo de Fondos'!$H$35)</f>
        <v/>
      </c>
      <c r="N85" s="56" t="n">
        <v>34.5</v>
      </c>
      <c r="O85" s="54">
        <f>myParidad('Flujo de Fondos'!$N$34,$A85,N85,'Flujo de Fondos'!$N$36,'Flujo de Fondos'!$N$35)</f>
        <v/>
      </c>
      <c r="P85" s="57">
        <f>C85-G85</f>
        <v/>
      </c>
      <c r="Q85" s="57">
        <f>E85-C85</f>
        <v/>
      </c>
      <c r="R85" s="57">
        <f>C85-M85</f>
        <v/>
      </c>
      <c r="S85" s="55">
        <f>C85-O85</f>
        <v/>
      </c>
      <c r="T85" s="57">
        <f>E85-O85</f>
        <v/>
      </c>
      <c r="U85" s="57">
        <f>G85-O85</f>
        <v/>
      </c>
      <c r="V85" s="57">
        <f>G85-K85</f>
        <v/>
      </c>
      <c r="W85" s="57">
        <f>C85-K85</f>
        <v/>
      </c>
      <c r="X85" s="67">
        <f>I85-G85</f>
        <v/>
      </c>
      <c r="Y85" s="75">
        <f>G85-M85</f>
        <v/>
      </c>
    </row>
    <row r="86">
      <c r="A86" s="52" t="n">
        <v>44372</v>
      </c>
      <c r="B86" s="53" t="n">
        <v>37.45</v>
      </c>
      <c r="C86" s="54">
        <f>myParidad('Flujo de Fondos'!$B$5,A86,B86,'Flujo de Fondos'!$B$7,'Flujo de Fondos'!$B$6)</f>
        <v/>
      </c>
      <c r="D86" s="53" t="n">
        <v>40</v>
      </c>
      <c r="E86" s="55">
        <f>myParidad('Flujo de Fondos'!$H$5,$A86,D86,'Flujo de Fondos'!$H$7,'Flujo de Fondos'!$H$6)</f>
        <v/>
      </c>
      <c r="F86" s="53" t="n">
        <v>34.99</v>
      </c>
      <c r="G86" s="54">
        <f>myParidad('Flujo de Fondos'!$N$5,$A86,F86,'Flujo de Fondos'!$N$7,'Flujo de Fondos'!$N$6)</f>
        <v/>
      </c>
      <c r="H86" s="56" t="n">
        <v>37.51</v>
      </c>
      <c r="I86" s="54">
        <f>myParidad('Flujo de Fondos'!$T$5,$A86,H86,'Flujo de Fondos'!$T$7,'Flujo de Fondos'!$T$6)</f>
        <v/>
      </c>
      <c r="J86" s="56" t="n">
        <v>32.06</v>
      </c>
      <c r="K86" s="54">
        <f>myParidad('Flujo de Fondos'!$B$34,$A86,J86,'Flujo de Fondos'!$B$36,'Flujo de Fondos'!$B$35)</f>
        <v/>
      </c>
      <c r="L86" s="53" t="n">
        <v>36.2</v>
      </c>
      <c r="M86" s="54">
        <f>myParidad('Flujo de Fondos'!$H$34,'Paridad usd'!$A86,'Paridad usd'!L86,'Flujo de Fondos'!$H$36,'Flujo de Fondos'!$H$35)</f>
        <v/>
      </c>
      <c r="N86" s="56" t="n">
        <v>34.75</v>
      </c>
      <c r="O86" s="54">
        <f>myParidad('Flujo de Fondos'!$N$34,$A86,N86,'Flujo de Fondos'!$N$36,'Flujo de Fondos'!$N$35)</f>
        <v/>
      </c>
      <c r="P86" s="57">
        <f>C86-G86</f>
        <v/>
      </c>
      <c r="Q86" s="57">
        <f>E86-C86</f>
        <v/>
      </c>
      <c r="R86" s="57">
        <f>C86-M86</f>
        <v/>
      </c>
      <c r="S86" s="55">
        <f>C86-O86</f>
        <v/>
      </c>
      <c r="T86" s="57">
        <f>E86-O86</f>
        <v/>
      </c>
      <c r="U86" s="57">
        <f>G86-O86</f>
        <v/>
      </c>
      <c r="V86" s="57">
        <f>G86-K86</f>
        <v/>
      </c>
      <c r="W86" s="57">
        <f>C86-K86</f>
        <v/>
      </c>
      <c r="X86" s="67">
        <f>I86-G86</f>
        <v/>
      </c>
      <c r="Y86" s="75">
        <f>G86-M86</f>
        <v/>
      </c>
    </row>
    <row r="87">
      <c r="A87" s="52" t="n">
        <v>44371</v>
      </c>
      <c r="B87" s="53" t="n">
        <v>38.16</v>
      </c>
      <c r="C87" s="54">
        <f>myParidad('Flujo de Fondos'!$B$5,A87,B87,'Flujo de Fondos'!$B$7,'Flujo de Fondos'!$B$6)</f>
        <v/>
      </c>
      <c r="D87" s="53" t="n">
        <v>40.7</v>
      </c>
      <c r="E87" s="55">
        <f>myParidad('Flujo de Fondos'!$H$5,$A87,D87,'Flujo de Fondos'!$H$7,'Flujo de Fondos'!$H$6)</f>
        <v/>
      </c>
      <c r="F87" s="53" t="n">
        <v>36</v>
      </c>
      <c r="G87" s="54">
        <f>myParidad('Flujo de Fondos'!$N$5,$A87,F87,'Flujo de Fondos'!$N$7,'Flujo de Fondos'!$N$6)</f>
        <v/>
      </c>
      <c r="H87" s="56" t="n">
        <v>38.45</v>
      </c>
      <c r="I87" s="54">
        <f>myParidad('Flujo de Fondos'!$T$5,$A87,H87,'Flujo de Fondos'!$T$7,'Flujo de Fondos'!$T$6)</f>
        <v/>
      </c>
      <c r="J87" s="56" t="n">
        <v>32.95</v>
      </c>
      <c r="K87" s="54">
        <f>myParidad('Flujo de Fondos'!$B$34,$A87,J87,'Flujo de Fondos'!$B$36,'Flujo de Fondos'!$B$35)</f>
        <v/>
      </c>
      <c r="L87" s="53" t="n">
        <v>37.11</v>
      </c>
      <c r="M87" s="54">
        <f>myParidad('Flujo de Fondos'!$H$34,'Paridad usd'!$A87,'Paridad usd'!L87,'Flujo de Fondos'!$H$36,'Flujo de Fondos'!$H$35)</f>
        <v/>
      </c>
      <c r="N87" s="56" t="n">
        <v>35.75</v>
      </c>
      <c r="O87" s="54">
        <f>myParidad('Flujo de Fondos'!$N$34,$A87,N87,'Flujo de Fondos'!$N$36,'Flujo de Fondos'!$N$35)</f>
        <v/>
      </c>
      <c r="P87" s="57">
        <f>C87-G87</f>
        <v/>
      </c>
      <c r="Q87" s="57">
        <f>E87-C87</f>
        <v/>
      </c>
      <c r="R87" s="57">
        <f>C87-M87</f>
        <v/>
      </c>
      <c r="S87" s="55">
        <f>C87-O87</f>
        <v/>
      </c>
      <c r="T87" s="57">
        <f>E87-O87</f>
        <v/>
      </c>
      <c r="U87" s="57">
        <f>G87-O87</f>
        <v/>
      </c>
      <c r="V87" s="57">
        <f>G87-K87</f>
        <v/>
      </c>
      <c r="W87" s="57">
        <f>C87-K87</f>
        <v/>
      </c>
      <c r="X87" s="67">
        <f>I87-G87</f>
        <v/>
      </c>
      <c r="Y87" s="75">
        <f>G87-M87</f>
        <v/>
      </c>
    </row>
    <row r="88">
      <c r="A88" s="52" t="n">
        <v>44370</v>
      </c>
      <c r="B88" s="53" t="n">
        <v>38.55</v>
      </c>
      <c r="C88" s="54">
        <f>myParidad('Flujo de Fondos'!$B$5,A88,B88,'Flujo de Fondos'!$B$7,'Flujo de Fondos'!$B$6)</f>
        <v/>
      </c>
      <c r="D88" s="53" t="n">
        <v>41.6</v>
      </c>
      <c r="E88" s="55">
        <f>myParidad('Flujo de Fondos'!$H$5,$A88,D88,'Flujo de Fondos'!$H$7,'Flujo de Fondos'!$H$6)</f>
        <v/>
      </c>
      <c r="F88" s="53" t="n">
        <v>36.54</v>
      </c>
      <c r="G88" s="54">
        <f>myParidad('Flujo de Fondos'!$N$5,$A88,F88,'Flujo de Fondos'!$N$7,'Flujo de Fondos'!$N$6)</f>
        <v/>
      </c>
      <c r="H88" s="56" t="n">
        <v>38.92</v>
      </c>
      <c r="I88" s="54">
        <f>myParidad('Flujo de Fondos'!$T$5,$A88,H88,'Flujo de Fondos'!$T$7,'Flujo de Fondos'!$T$6)</f>
        <v/>
      </c>
      <c r="J88" s="56" t="n">
        <v>33.3</v>
      </c>
      <c r="K88" s="54">
        <f>myParidad('Flujo de Fondos'!$B$34,$A88,J88,'Flujo de Fondos'!$B$36,'Flujo de Fondos'!$B$35)</f>
        <v/>
      </c>
      <c r="L88" s="53" t="n">
        <v>37.35</v>
      </c>
      <c r="M88" s="54">
        <f>myParidad('Flujo de Fondos'!$H$34,'Paridad usd'!$A88,'Paridad usd'!L88,'Flujo de Fondos'!$H$36,'Flujo de Fondos'!$H$35)</f>
        <v/>
      </c>
      <c r="N88" s="56" t="n">
        <v>36</v>
      </c>
      <c r="O88" s="54">
        <f>myParidad('Flujo de Fondos'!$N$34,$A88,N88,'Flujo de Fondos'!$N$36,'Flujo de Fondos'!$N$35)</f>
        <v/>
      </c>
      <c r="P88" s="57">
        <f>C88-G88</f>
        <v/>
      </c>
      <c r="Q88" s="57">
        <f>E88-C88</f>
        <v/>
      </c>
      <c r="R88" s="57">
        <f>C88-M88</f>
        <v/>
      </c>
      <c r="S88" s="55">
        <f>C88-O88</f>
        <v/>
      </c>
      <c r="T88" s="57">
        <f>E88-O88</f>
        <v/>
      </c>
      <c r="U88" s="57">
        <f>G88-O88</f>
        <v/>
      </c>
      <c r="V88" s="57">
        <f>G88-K88</f>
        <v/>
      </c>
      <c r="W88" s="57">
        <f>C88-K88</f>
        <v/>
      </c>
      <c r="X88" s="67">
        <f>I88-G88</f>
        <v/>
      </c>
      <c r="Y88" s="75">
        <f>G88-M88</f>
        <v/>
      </c>
    </row>
    <row r="89">
      <c r="A89" s="52" t="n">
        <v>44369</v>
      </c>
      <c r="B89" s="53" t="n">
        <v>38.6</v>
      </c>
      <c r="C89" s="54">
        <f>myParidad('Flujo de Fondos'!$B$5,A89,B89,'Flujo de Fondos'!$B$7,'Flujo de Fondos'!$B$6)</f>
        <v/>
      </c>
      <c r="D89" s="53" t="n">
        <v>42.15</v>
      </c>
      <c r="E89" s="55">
        <f>myParidad('Flujo de Fondos'!$H$5,$A89,D89,'Flujo de Fondos'!$H$7,'Flujo de Fondos'!$H$6)</f>
        <v/>
      </c>
      <c r="F89" s="53" t="n">
        <v>36.65</v>
      </c>
      <c r="G89" s="54">
        <f>myParidad('Flujo de Fondos'!$N$5,$A89,F89,'Flujo de Fondos'!$N$7,'Flujo de Fondos'!$N$6)</f>
        <v/>
      </c>
      <c r="H89" s="56" t="n">
        <v>38.75</v>
      </c>
      <c r="I89" s="54">
        <f>myParidad('Flujo de Fondos'!$T$5,$A89,H89,'Flujo de Fondos'!$T$7,'Flujo de Fondos'!$T$6)</f>
        <v/>
      </c>
      <c r="J89" s="56" t="n">
        <v>33.35</v>
      </c>
      <c r="K89" s="54">
        <f>myParidad('Flujo de Fondos'!$B$34,$A89,J89,'Flujo de Fondos'!$B$36,'Flujo de Fondos'!$B$35)</f>
        <v/>
      </c>
      <c r="L89" s="53" t="n">
        <v>37.32</v>
      </c>
      <c r="M89" s="54">
        <f>myParidad('Flujo de Fondos'!$H$34,'Paridad usd'!$A89,'Paridad usd'!L89,'Flujo de Fondos'!$H$36,'Flujo de Fondos'!$H$35)</f>
        <v/>
      </c>
      <c r="N89" s="56" t="n">
        <v>36.2</v>
      </c>
      <c r="O89" s="54">
        <f>myParidad('Flujo de Fondos'!$N$34,$A89,N89,'Flujo de Fondos'!$N$36,'Flujo de Fondos'!$N$35)</f>
        <v/>
      </c>
      <c r="P89" s="57">
        <f>C89-G89</f>
        <v/>
      </c>
      <c r="Q89" s="57">
        <f>E89-C89</f>
        <v/>
      </c>
      <c r="R89" s="57">
        <f>C89-M89</f>
        <v/>
      </c>
      <c r="S89" s="55">
        <f>C89-O89</f>
        <v/>
      </c>
      <c r="T89" s="57">
        <f>E89-O89</f>
        <v/>
      </c>
      <c r="U89" s="57">
        <f>G89-O89</f>
        <v/>
      </c>
      <c r="V89" s="57">
        <f>G89-K89</f>
        <v/>
      </c>
      <c r="W89" s="57">
        <f>C89-K89</f>
        <v/>
      </c>
      <c r="X89" s="67">
        <f>I89-G89</f>
        <v/>
      </c>
      <c r="Y89" s="75">
        <f>G89-M89</f>
        <v/>
      </c>
    </row>
    <row r="90">
      <c r="A90" s="52" t="n">
        <v>44365</v>
      </c>
      <c r="B90" s="53" t="n">
        <v>39.21</v>
      </c>
      <c r="C90" s="54">
        <f>myParidad('Flujo de Fondos'!$B$5,A90,B90,'Flujo de Fondos'!$B$7,'Flujo de Fondos'!$B$6)</f>
        <v/>
      </c>
      <c r="D90" s="53" t="n">
        <v>43.2</v>
      </c>
      <c r="E90" s="55">
        <f>myParidad('Flujo de Fondos'!$H$5,$A90,D90,'Flujo de Fondos'!$H$7,'Flujo de Fondos'!$H$6)</f>
        <v/>
      </c>
      <c r="F90" s="53" t="n">
        <v>37.3</v>
      </c>
      <c r="G90" s="54">
        <f>myParidad('Flujo de Fondos'!$N$5,$A90,F90,'Flujo de Fondos'!$N$7,'Flujo de Fondos'!$N$6)</f>
        <v/>
      </c>
      <c r="H90" s="56" t="n">
        <v>39.71</v>
      </c>
      <c r="I90" s="54">
        <f>myParidad('Flujo de Fondos'!$T$5,$A90,H90,'Flujo de Fondos'!$T$7,'Flujo de Fondos'!$T$6)</f>
        <v/>
      </c>
      <c r="J90" s="56" t="n">
        <v>33.81</v>
      </c>
      <c r="K90" s="54">
        <f>myParidad('Flujo de Fondos'!$B$34,$A90,J90,'Flujo de Fondos'!$B$36,'Flujo de Fondos'!$B$35)</f>
        <v/>
      </c>
      <c r="L90" s="53" t="n">
        <v>37.9</v>
      </c>
      <c r="M90" s="54">
        <f>myParidad('Flujo de Fondos'!$H$34,'Paridad usd'!$A90,'Paridad usd'!L90,'Flujo de Fondos'!$H$36,'Flujo de Fondos'!$H$35)</f>
        <v/>
      </c>
      <c r="N90" s="56" t="n">
        <v>36.9</v>
      </c>
      <c r="O90" s="54">
        <f>myParidad('Flujo de Fondos'!$N$34,$A90,N90,'Flujo de Fondos'!$N$36,'Flujo de Fondos'!$N$35)</f>
        <v/>
      </c>
      <c r="P90" s="57">
        <f>C90-G90</f>
        <v/>
      </c>
      <c r="Q90" s="57">
        <f>E90-C90</f>
        <v/>
      </c>
      <c r="R90" s="57">
        <f>C90-M90</f>
        <v/>
      </c>
      <c r="S90" s="55">
        <f>C90-O90</f>
        <v/>
      </c>
      <c r="T90" s="57">
        <f>E90-O90</f>
        <v/>
      </c>
      <c r="U90" s="57">
        <f>G90-O90</f>
        <v/>
      </c>
      <c r="V90" s="57">
        <f>G90-K90</f>
        <v/>
      </c>
      <c r="W90" s="57">
        <f>C90-K90</f>
        <v/>
      </c>
      <c r="X90" s="67">
        <f>I90-G90</f>
        <v/>
      </c>
      <c r="Y90" s="75">
        <f>G90-M90</f>
        <v/>
      </c>
    </row>
    <row r="91">
      <c r="A91" s="52" t="n">
        <v>44364</v>
      </c>
      <c r="B91" s="53" t="n">
        <v>39.32</v>
      </c>
      <c r="C91" s="54">
        <f>myParidad('Flujo de Fondos'!$B$5,A91,B91,'Flujo de Fondos'!$B$7,'Flujo de Fondos'!$B$6)</f>
        <v/>
      </c>
      <c r="D91" s="53" t="n">
        <v>43.1</v>
      </c>
      <c r="E91" s="55">
        <f>myParidad('Flujo de Fondos'!$H$5,$A91,D91,'Flujo de Fondos'!$H$7,'Flujo de Fondos'!$H$6)</f>
        <v/>
      </c>
      <c r="F91" s="53" t="n">
        <v>37.53</v>
      </c>
      <c r="G91" s="54">
        <f>myParidad('Flujo de Fondos'!$N$5,$A91,F91,'Flujo de Fondos'!$N$7,'Flujo de Fondos'!$N$6)</f>
        <v/>
      </c>
      <c r="H91" s="56" t="n">
        <v>39.68</v>
      </c>
      <c r="I91" s="54">
        <f>myParidad('Flujo de Fondos'!$T$5,$A91,H91,'Flujo de Fondos'!$T$7,'Flujo de Fondos'!$T$6)</f>
        <v/>
      </c>
      <c r="J91" s="56" t="n">
        <v>34.14</v>
      </c>
      <c r="K91" s="54">
        <f>myParidad('Flujo de Fondos'!$B$34,$A91,J91,'Flujo de Fondos'!$B$36,'Flujo de Fondos'!$B$35)</f>
        <v/>
      </c>
      <c r="L91" s="53" t="n">
        <v>37.98</v>
      </c>
      <c r="M91" s="54">
        <f>myParidad('Flujo de Fondos'!$H$34,'Paridad usd'!$A91,'Paridad usd'!L91,'Flujo de Fondos'!$H$36,'Flujo de Fondos'!$H$35)</f>
        <v/>
      </c>
      <c r="N91" s="56" t="n">
        <v>37</v>
      </c>
      <c r="O91" s="54">
        <f>myParidad('Flujo de Fondos'!$N$34,$A91,N91,'Flujo de Fondos'!$N$36,'Flujo de Fondos'!$N$35)</f>
        <v/>
      </c>
      <c r="P91" s="57">
        <f>C91-G91</f>
        <v/>
      </c>
      <c r="Q91" s="57">
        <f>E91-C91</f>
        <v/>
      </c>
      <c r="R91" s="57">
        <f>C91-M91</f>
        <v/>
      </c>
      <c r="S91" s="55">
        <f>C91-O91</f>
        <v/>
      </c>
      <c r="T91" s="57">
        <f>E91-O91</f>
        <v/>
      </c>
      <c r="U91" s="57">
        <f>G91-O91</f>
        <v/>
      </c>
      <c r="V91" s="57">
        <f>G91-K91</f>
        <v/>
      </c>
      <c r="W91" s="57">
        <f>C91-K91</f>
        <v/>
      </c>
      <c r="X91" s="67">
        <f>I91-G91</f>
        <v/>
      </c>
      <c r="Y91" s="75">
        <f>G91-M91</f>
        <v/>
      </c>
    </row>
    <row r="92">
      <c r="A92" s="52" t="n">
        <v>44363</v>
      </c>
      <c r="B92" s="53" t="n">
        <v>39.49</v>
      </c>
      <c r="C92" s="54">
        <f>myParidad('Flujo de Fondos'!$B$5,A92,B92,'Flujo de Fondos'!$B$7,'Flujo de Fondos'!$B$6)</f>
        <v/>
      </c>
      <c r="D92" s="53" t="n">
        <v>43.5</v>
      </c>
      <c r="E92" s="55">
        <f>myParidad('Flujo de Fondos'!$H$5,$A92,D92,'Flujo de Fondos'!$H$7,'Flujo de Fondos'!$H$6)</f>
        <v/>
      </c>
      <c r="F92" s="53" t="n">
        <v>37.96</v>
      </c>
      <c r="G92" s="54">
        <f>myParidad('Flujo de Fondos'!$N$5,$A92,F92,'Flujo de Fondos'!$N$7,'Flujo de Fondos'!$N$6)</f>
        <v/>
      </c>
      <c r="H92" s="56" t="n">
        <v>40.08</v>
      </c>
      <c r="I92" s="54">
        <f>myParidad('Flujo de Fondos'!$T$5,$A92,H92,'Flujo de Fondos'!$T$7,'Flujo de Fondos'!$T$6)</f>
        <v/>
      </c>
      <c r="J92" s="56" t="n">
        <v>34.44</v>
      </c>
      <c r="K92" s="54">
        <f>myParidad('Flujo de Fondos'!$B$34,$A92,J92,'Flujo de Fondos'!$B$36,'Flujo de Fondos'!$B$35)</f>
        <v/>
      </c>
      <c r="L92" s="53" t="n">
        <v>38.54</v>
      </c>
      <c r="M92" s="54">
        <f>myParidad('Flujo de Fondos'!$H$34,'Paridad usd'!$A92,'Paridad usd'!L92,'Flujo de Fondos'!$H$36,'Flujo de Fondos'!$H$35)</f>
        <v/>
      </c>
      <c r="N92" s="56" t="n">
        <v>37.2</v>
      </c>
      <c r="O92" s="54">
        <f>myParidad('Flujo de Fondos'!$N$34,$A92,N92,'Flujo de Fondos'!$N$36,'Flujo de Fondos'!$N$35)</f>
        <v/>
      </c>
      <c r="P92" s="57">
        <f>C92-G92</f>
        <v/>
      </c>
      <c r="Q92" s="57">
        <f>E92-C92</f>
        <v/>
      </c>
      <c r="R92" s="57">
        <f>C92-M92</f>
        <v/>
      </c>
      <c r="S92" s="55">
        <f>C92-O92</f>
        <v/>
      </c>
      <c r="T92" s="57">
        <f>E92-O92</f>
        <v/>
      </c>
      <c r="U92" s="57">
        <f>G92-O92</f>
        <v/>
      </c>
      <c r="V92" s="57">
        <f>G92-K92</f>
        <v/>
      </c>
      <c r="W92" s="57">
        <f>C92-K92</f>
        <v/>
      </c>
      <c r="X92" s="67">
        <f>I92-G92</f>
        <v/>
      </c>
      <c r="Y92" s="75">
        <f>G92-M92</f>
        <v/>
      </c>
    </row>
    <row r="93">
      <c r="A93" s="52" t="n">
        <v>44362</v>
      </c>
      <c r="B93" s="53" t="n">
        <v>39.7</v>
      </c>
      <c r="C93" s="54">
        <f>myParidad('Flujo de Fondos'!$B$5,A93,B93,'Flujo de Fondos'!$B$7,'Flujo de Fondos'!$B$6)</f>
        <v/>
      </c>
      <c r="D93" s="53" t="n">
        <v>44</v>
      </c>
      <c r="E93" s="55">
        <f>myParidad('Flujo de Fondos'!$H$5,$A93,D93,'Flujo de Fondos'!$H$7,'Flujo de Fondos'!$H$6)</f>
        <v/>
      </c>
      <c r="F93" s="53" t="n">
        <v>38.06</v>
      </c>
      <c r="G93" s="54">
        <f>myParidad('Flujo de Fondos'!$N$5,$A93,F93,'Flujo de Fondos'!$N$7,'Flujo de Fondos'!$N$6)</f>
        <v/>
      </c>
      <c r="H93" s="56" t="n">
        <v>40.33</v>
      </c>
      <c r="I93" s="54">
        <f>myParidad('Flujo de Fondos'!$T$5,$A93,H93,'Flujo de Fondos'!$T$7,'Flujo de Fondos'!$T$6)</f>
        <v/>
      </c>
      <c r="J93" s="56" t="n">
        <v>34.73</v>
      </c>
      <c r="K93" s="54">
        <f>myParidad('Flujo de Fondos'!$B$34,$A93,J93,'Flujo de Fondos'!$B$36,'Flujo de Fondos'!$B$35)</f>
        <v/>
      </c>
      <c r="L93" s="53" t="n">
        <v>38.25</v>
      </c>
      <c r="M93" s="54">
        <f>myParidad('Flujo de Fondos'!$H$34,'Paridad usd'!$A93,'Paridad usd'!L93,'Flujo de Fondos'!$H$36,'Flujo de Fondos'!$H$35)</f>
        <v/>
      </c>
      <c r="N93" s="56" t="n">
        <v>38.28</v>
      </c>
      <c r="O93" s="54">
        <f>myParidad('Flujo de Fondos'!$N$34,$A93,N93,'Flujo de Fondos'!$N$36,'Flujo de Fondos'!$N$35)</f>
        <v/>
      </c>
      <c r="P93" s="57">
        <f>C93-G93</f>
        <v/>
      </c>
      <c r="Q93" s="57">
        <f>E93-C93</f>
        <v/>
      </c>
      <c r="R93" s="57">
        <f>C93-M93</f>
        <v/>
      </c>
      <c r="S93" s="55">
        <f>C93-O93</f>
        <v/>
      </c>
      <c r="T93" s="57">
        <f>E93-O93</f>
        <v/>
      </c>
      <c r="U93" s="57">
        <f>G93-O93</f>
        <v/>
      </c>
      <c r="V93" s="57">
        <f>G93-K93</f>
        <v/>
      </c>
      <c r="W93" s="57">
        <f>C93-K93</f>
        <v/>
      </c>
      <c r="X93" s="67">
        <f>I93-G93</f>
        <v/>
      </c>
      <c r="Y93" s="75">
        <f>G93-M93</f>
        <v/>
      </c>
    </row>
    <row r="94">
      <c r="A94" s="52" t="n">
        <v>44361</v>
      </c>
      <c r="B94" s="53" t="n">
        <v>39.85</v>
      </c>
      <c r="C94" s="54">
        <f>myParidad('Flujo de Fondos'!$B$5,A94,B94,'Flujo de Fondos'!$B$7,'Flujo de Fondos'!$B$6)</f>
        <v/>
      </c>
      <c r="D94" s="53" t="n">
        <v>45.25</v>
      </c>
      <c r="E94" s="55">
        <f>myParidad('Flujo de Fondos'!$H$5,$A94,D94,'Flujo de Fondos'!$H$7,'Flujo de Fondos'!$H$6)</f>
        <v/>
      </c>
      <c r="F94" s="53" t="n">
        <v>38.3</v>
      </c>
      <c r="G94" s="54">
        <f>myParidad('Flujo de Fondos'!$N$5,$A94,F94,'Flujo de Fondos'!$N$7,'Flujo de Fondos'!$N$6)</f>
        <v/>
      </c>
      <c r="H94" s="56" t="n">
        <v>40.62</v>
      </c>
      <c r="I94" s="54">
        <f>myParidad('Flujo de Fondos'!$T$5,$A94,H94,'Flujo de Fondos'!$T$7,'Flujo de Fondos'!$T$6)</f>
        <v/>
      </c>
      <c r="J94" s="56" t="n">
        <v>35.09</v>
      </c>
      <c r="K94" s="54">
        <f>myParidad('Flujo de Fondos'!$B$34,$A94,J94,'Flujo de Fondos'!$B$36,'Flujo de Fondos'!$B$35)</f>
        <v/>
      </c>
      <c r="L94" s="53" t="n">
        <v>38.7</v>
      </c>
      <c r="M94" s="54">
        <f>myParidad('Flujo de Fondos'!$H$34,'Paridad usd'!$A94,'Paridad usd'!L94,'Flujo de Fondos'!$H$36,'Flujo de Fondos'!$H$35)</f>
        <v/>
      </c>
      <c r="N94" s="56" t="n">
        <v>38</v>
      </c>
      <c r="O94" s="54">
        <f>myParidad('Flujo de Fondos'!$N$34,$A94,N94,'Flujo de Fondos'!$N$36,'Flujo de Fondos'!$N$35)</f>
        <v/>
      </c>
      <c r="P94" s="57">
        <f>C94-G94</f>
        <v/>
      </c>
      <c r="Q94" s="57">
        <f>E94-C94</f>
        <v/>
      </c>
      <c r="R94" s="57">
        <f>C94-M94</f>
        <v/>
      </c>
      <c r="S94" s="55">
        <f>C94-O94</f>
        <v/>
      </c>
      <c r="T94" s="57">
        <f>E94-O94</f>
        <v/>
      </c>
      <c r="U94" s="57">
        <f>G94-O94</f>
        <v/>
      </c>
      <c r="V94" s="57">
        <f>G94-K94</f>
        <v/>
      </c>
      <c r="W94" s="57">
        <f>C94-K94</f>
        <v/>
      </c>
      <c r="X94" s="67">
        <f>I94-G94</f>
        <v/>
      </c>
      <c r="Y94" s="75">
        <f>G94-M94</f>
        <v/>
      </c>
    </row>
    <row r="95">
      <c r="A95" s="52" t="n">
        <v>44358</v>
      </c>
      <c r="B95" s="53" t="n">
        <v>39.9</v>
      </c>
      <c r="C95" s="54">
        <f>myParidad('Flujo de Fondos'!$B$5,A95,B95,'Flujo de Fondos'!$B$7,'Flujo de Fondos'!$B$6)</f>
        <v/>
      </c>
      <c r="D95" s="53" t="n">
        <v>44.9</v>
      </c>
      <c r="E95" s="55">
        <f>myParidad('Flujo de Fondos'!$H$5,$A95,D95,'Flujo de Fondos'!$H$7,'Flujo de Fondos'!$H$6)</f>
        <v/>
      </c>
      <c r="F95" s="53" t="n">
        <v>38.3</v>
      </c>
      <c r="G95" s="54">
        <f>myParidad('Flujo de Fondos'!$N$5,$A95,F95,'Flujo de Fondos'!$N$7,'Flujo de Fondos'!$N$6)</f>
        <v/>
      </c>
      <c r="H95" s="56" t="n">
        <v>40.6</v>
      </c>
      <c r="I95" s="54">
        <f>myParidad('Flujo de Fondos'!$T$5,$A95,H95,'Flujo de Fondos'!$T$7,'Flujo de Fondos'!$T$6)</f>
        <v/>
      </c>
      <c r="J95" s="56" t="n">
        <v>35.15</v>
      </c>
      <c r="K95" s="54">
        <f>myParidad('Flujo de Fondos'!$B$34,$A95,J95,'Flujo de Fondos'!$B$36,'Flujo de Fondos'!$B$35)</f>
        <v/>
      </c>
      <c r="L95" s="53" t="n">
        <v>38.66</v>
      </c>
      <c r="M95" s="54">
        <f>myParidad('Flujo de Fondos'!$H$34,'Paridad usd'!$A95,'Paridad usd'!L95,'Flujo de Fondos'!$H$36,'Flujo de Fondos'!$H$35)</f>
        <v/>
      </c>
      <c r="N95" s="56" t="n">
        <v>37.7</v>
      </c>
      <c r="O95" s="54">
        <f>myParidad('Flujo de Fondos'!$N$34,$A95,N95,'Flujo de Fondos'!$N$36,'Flujo de Fondos'!$N$35)</f>
        <v/>
      </c>
      <c r="P95" s="57">
        <f>C95-G95</f>
        <v/>
      </c>
      <c r="Q95" s="57">
        <f>E95-C95</f>
        <v/>
      </c>
      <c r="R95" s="57">
        <f>C95-M95</f>
        <v/>
      </c>
      <c r="S95" s="55">
        <f>C95-O95</f>
        <v/>
      </c>
      <c r="T95" s="57">
        <f>E95-O95</f>
        <v/>
      </c>
      <c r="U95" s="57">
        <f>G95-O95</f>
        <v/>
      </c>
      <c r="V95" s="57">
        <f>G95-K95</f>
        <v/>
      </c>
      <c r="W95" s="57">
        <f>C95-K95</f>
        <v/>
      </c>
      <c r="X95" s="67">
        <f>I95-G95</f>
        <v/>
      </c>
      <c r="Y95" s="75">
        <f>G95-M95</f>
        <v/>
      </c>
    </row>
    <row r="96">
      <c r="A96" s="52" t="n">
        <v>44357</v>
      </c>
      <c r="B96" s="53" t="n">
        <v>39.5</v>
      </c>
      <c r="C96" s="54">
        <f>myParidad('Flujo de Fondos'!$B$5,A96,B96,'Flujo de Fondos'!$B$7,'Flujo de Fondos'!$B$6)</f>
        <v/>
      </c>
      <c r="D96" s="53" t="n">
        <v>44</v>
      </c>
      <c r="E96" s="55">
        <f>myParidad('Flujo de Fondos'!$H$5,$A96,D96,'Flujo de Fondos'!$H$7,'Flujo de Fondos'!$H$6)</f>
        <v/>
      </c>
      <c r="F96" s="53" t="n">
        <v>37.97</v>
      </c>
      <c r="G96" s="54">
        <f>myParidad('Flujo de Fondos'!$N$5,$A96,F96,'Flujo de Fondos'!$N$7,'Flujo de Fondos'!$N$6)</f>
        <v/>
      </c>
      <c r="H96" s="56" t="n">
        <v>40.46</v>
      </c>
      <c r="I96" s="54">
        <f>myParidad('Flujo de Fondos'!$T$5,$A96,H96,'Flujo de Fondos'!$T$7,'Flujo de Fondos'!$T$6)</f>
        <v/>
      </c>
      <c r="J96" s="56" t="n">
        <v>35.05</v>
      </c>
      <c r="K96" s="54">
        <f>myParidad('Flujo de Fondos'!$B$34,$A96,J96,'Flujo de Fondos'!$B$36,'Flujo de Fondos'!$B$35)</f>
        <v/>
      </c>
      <c r="L96" s="53" t="n">
        <v>38.33</v>
      </c>
      <c r="M96" s="54">
        <f>myParidad('Flujo de Fondos'!$H$34,'Paridad usd'!$A96,'Paridad usd'!L96,'Flujo de Fondos'!$H$36,'Flujo de Fondos'!$H$35)</f>
        <v/>
      </c>
      <c r="N96" s="56" t="n">
        <v>37</v>
      </c>
      <c r="O96" s="54">
        <f>myParidad('Flujo de Fondos'!$N$34,$A96,N96,'Flujo de Fondos'!$N$36,'Flujo de Fondos'!$N$35)</f>
        <v/>
      </c>
      <c r="P96" s="57">
        <f>C96-G96</f>
        <v/>
      </c>
      <c r="Q96" s="57">
        <f>E96-C96</f>
        <v/>
      </c>
      <c r="R96" s="57">
        <f>C96-M96</f>
        <v/>
      </c>
      <c r="S96" s="55">
        <f>C96-O96</f>
        <v/>
      </c>
      <c r="T96" s="57">
        <f>E96-O96</f>
        <v/>
      </c>
      <c r="U96" s="57">
        <f>G96-O96</f>
        <v/>
      </c>
      <c r="V96" s="57">
        <f>G96-K96</f>
        <v/>
      </c>
      <c r="W96" s="57">
        <f>C96-K96</f>
        <v/>
      </c>
      <c r="X96" s="67">
        <f>I96-G96</f>
        <v/>
      </c>
      <c r="Y96" s="75">
        <f>G96-M96</f>
        <v/>
      </c>
    </row>
    <row r="97">
      <c r="A97" s="52" t="n">
        <v>44356</v>
      </c>
      <c r="B97" s="53" t="n">
        <v>39.3</v>
      </c>
      <c r="C97" s="54">
        <f>myParidad('Flujo de Fondos'!$B$5,A97,B97,'Flujo de Fondos'!$B$7,'Flujo de Fondos'!$B$6)</f>
        <v/>
      </c>
      <c r="D97" s="53" t="n">
        <v>44</v>
      </c>
      <c r="E97" s="55">
        <f>myParidad('Flujo de Fondos'!$H$5,$A97,D97,'Flujo de Fondos'!$H$7,'Flujo de Fondos'!$H$6)</f>
        <v/>
      </c>
      <c r="F97" s="53" t="n">
        <v>37.65</v>
      </c>
      <c r="G97" s="54">
        <f>myParidad('Flujo de Fondos'!$N$5,$A97,F97,'Flujo de Fondos'!$N$7,'Flujo de Fondos'!$N$6)</f>
        <v/>
      </c>
      <c r="H97" s="56" t="n">
        <v>40.47</v>
      </c>
      <c r="I97" s="54">
        <f>myParidad('Flujo de Fondos'!$T$5,$A97,H97,'Flujo de Fondos'!$T$7,'Flujo de Fondos'!$T$6)</f>
        <v/>
      </c>
      <c r="J97" s="56" t="n">
        <v>34.74</v>
      </c>
      <c r="K97" s="54">
        <f>myParidad('Flujo de Fondos'!$B$34,$A97,J97,'Flujo de Fondos'!$B$36,'Flujo de Fondos'!$B$35)</f>
        <v/>
      </c>
      <c r="L97" s="53" t="n">
        <v>38.15</v>
      </c>
      <c r="M97" s="54">
        <f>myParidad('Flujo de Fondos'!$H$34,'Paridad usd'!$A97,'Paridad usd'!L97,'Flujo de Fondos'!$H$36,'Flujo de Fondos'!$H$35)</f>
        <v/>
      </c>
      <c r="N97" s="56" t="n">
        <v>36.4</v>
      </c>
      <c r="O97" s="54">
        <f>myParidad('Flujo de Fondos'!$N$34,$A97,N97,'Flujo de Fondos'!$N$36,'Flujo de Fondos'!$N$35)</f>
        <v/>
      </c>
      <c r="P97" s="57">
        <f>C97-G97</f>
        <v/>
      </c>
      <c r="Q97" s="57">
        <f>E97-C97</f>
        <v/>
      </c>
      <c r="R97" s="57">
        <f>C97-M97</f>
        <v/>
      </c>
      <c r="S97" s="55">
        <f>C97-O97</f>
        <v/>
      </c>
      <c r="T97" s="57">
        <f>E97-O97</f>
        <v/>
      </c>
      <c r="U97" s="57">
        <f>G97-O97</f>
        <v/>
      </c>
      <c r="V97" s="57">
        <f>G97-K97</f>
        <v/>
      </c>
      <c r="W97" s="57">
        <f>C97-K97</f>
        <v/>
      </c>
      <c r="X97" s="67">
        <f>I97-G97</f>
        <v/>
      </c>
      <c r="Y97" s="75">
        <f>G97-M97</f>
        <v/>
      </c>
    </row>
    <row r="98">
      <c r="A98" s="52" t="n">
        <v>44355</v>
      </c>
      <c r="B98" s="53" t="n">
        <v>38.75</v>
      </c>
      <c r="C98" s="54">
        <f>myParidad('Flujo de Fondos'!$B$5,A98,B98,'Flujo de Fondos'!$B$7,'Flujo de Fondos'!$B$6)</f>
        <v/>
      </c>
      <c r="D98" s="53" t="n">
        <v>42.5</v>
      </c>
      <c r="E98" s="55">
        <f>myParidad('Flujo de Fondos'!$H$5,$A98,D98,'Flujo de Fondos'!$H$7,'Flujo de Fondos'!$H$6)</f>
        <v/>
      </c>
      <c r="F98" s="53" t="n">
        <v>37.02</v>
      </c>
      <c r="G98" s="54">
        <f>myParidad('Flujo de Fondos'!$N$5,$A98,F98,'Flujo de Fondos'!$N$7,'Flujo de Fondos'!$N$6)</f>
        <v/>
      </c>
      <c r="H98" s="56" t="n">
        <v>39.96</v>
      </c>
      <c r="I98" s="54">
        <f>myParidad('Flujo de Fondos'!$T$5,$A98,H98,'Flujo de Fondos'!$T$7,'Flujo de Fondos'!$T$6)</f>
        <v/>
      </c>
      <c r="J98" s="56" t="n">
        <v>34.09</v>
      </c>
      <c r="K98" s="54">
        <f>myParidad('Flujo de Fondos'!$B$34,$A98,J98,'Flujo de Fondos'!$B$36,'Flujo de Fondos'!$B$35)</f>
        <v/>
      </c>
      <c r="L98" s="53" t="n">
        <v>37.55</v>
      </c>
      <c r="M98" s="54">
        <f>myParidad('Flujo de Fondos'!$H$34,'Paridad usd'!$A98,'Paridad usd'!L98,'Flujo de Fondos'!$H$36,'Flujo de Fondos'!$H$35)</f>
        <v/>
      </c>
      <c r="N98" s="56" t="n">
        <v>35.9</v>
      </c>
      <c r="O98" s="54">
        <f>myParidad('Flujo de Fondos'!$N$34,$A98,N98,'Flujo de Fondos'!$N$36,'Flujo de Fondos'!$N$35)</f>
        <v/>
      </c>
      <c r="P98" s="57">
        <f>C98-G98</f>
        <v/>
      </c>
      <c r="Q98" s="57">
        <f>E98-C98</f>
        <v/>
      </c>
      <c r="R98" s="57">
        <f>C98-M98</f>
        <v/>
      </c>
      <c r="S98" s="55">
        <f>C98-O98</f>
        <v/>
      </c>
      <c r="T98" s="57">
        <f>E98-O98</f>
        <v/>
      </c>
      <c r="U98" s="57">
        <f>G98-O98</f>
        <v/>
      </c>
      <c r="V98" s="57">
        <f>G98-K98</f>
        <v/>
      </c>
      <c r="W98" s="57">
        <f>C98-K98</f>
        <v/>
      </c>
      <c r="X98" s="67">
        <f>I98-G98</f>
        <v/>
      </c>
      <c r="Y98" s="75">
        <f>G98-M98</f>
        <v/>
      </c>
    </row>
    <row r="99">
      <c r="A99" s="52" t="n">
        <v>44354</v>
      </c>
      <c r="B99" s="53" t="n">
        <v>38.17</v>
      </c>
      <c r="C99" s="54">
        <f>myParidad('Flujo de Fondos'!$B$5,A99,B99,'Flujo de Fondos'!$B$7,'Flujo de Fondos'!$B$6)</f>
        <v/>
      </c>
      <c r="D99" s="53" t="n">
        <v>42.35</v>
      </c>
      <c r="E99" s="55">
        <f>myParidad('Flujo de Fondos'!$H$5,$A99,D99,'Flujo de Fondos'!$H$7,'Flujo de Fondos'!$H$6)</f>
        <v/>
      </c>
      <c r="F99" s="53" t="n">
        <v>36.5</v>
      </c>
      <c r="G99" s="54">
        <f>myParidad('Flujo de Fondos'!$N$5,$A99,F99,'Flujo de Fondos'!$N$7,'Flujo de Fondos'!$N$6)</f>
        <v/>
      </c>
      <c r="H99" s="56" t="n">
        <v>39.53</v>
      </c>
      <c r="I99" s="54">
        <f>myParidad('Flujo de Fondos'!$T$5,$A99,H99,'Flujo de Fondos'!$T$7,'Flujo de Fondos'!$T$6)</f>
        <v/>
      </c>
      <c r="J99" s="56" t="n">
        <v>33.8</v>
      </c>
      <c r="K99" s="54">
        <f>myParidad('Flujo de Fondos'!$B$34,$A99,J99,'Flujo de Fondos'!$B$36,'Flujo de Fondos'!$B$35)</f>
        <v/>
      </c>
      <c r="L99" s="53" t="n">
        <v>37.3</v>
      </c>
      <c r="M99" s="54">
        <f>myParidad('Flujo de Fondos'!$H$34,'Paridad usd'!$A99,'Paridad usd'!L99,'Flujo de Fondos'!$H$36,'Flujo de Fondos'!$H$35)</f>
        <v/>
      </c>
      <c r="N99" s="56" t="n">
        <v>35.35</v>
      </c>
      <c r="O99" s="54">
        <f>myParidad('Flujo de Fondos'!$N$34,$A99,N99,'Flujo de Fondos'!$N$36,'Flujo de Fondos'!$N$35)</f>
        <v/>
      </c>
      <c r="P99" s="57">
        <f>C99-G99</f>
        <v/>
      </c>
      <c r="Q99" s="57">
        <f>E99-C99</f>
        <v/>
      </c>
      <c r="R99" s="57">
        <f>C99-M99</f>
        <v/>
      </c>
      <c r="S99" s="55">
        <f>C99-O99</f>
        <v/>
      </c>
      <c r="T99" s="57">
        <f>E99-O99</f>
        <v/>
      </c>
      <c r="U99" s="57">
        <f>G99-O99</f>
        <v/>
      </c>
      <c r="V99" s="57">
        <f>G99-K99</f>
        <v/>
      </c>
      <c r="W99" s="57">
        <f>C99-K99</f>
        <v/>
      </c>
      <c r="X99" s="67">
        <f>I99-G99</f>
        <v/>
      </c>
      <c r="Y99" s="75">
        <f>G99-M99</f>
        <v/>
      </c>
    </row>
    <row r="100">
      <c r="A100" s="52" t="n">
        <v>44351</v>
      </c>
      <c r="B100" s="53" t="n">
        <v>38.05</v>
      </c>
      <c r="C100" s="54">
        <f>myParidad('Flujo de Fondos'!$B$5,A100,B100,'Flujo de Fondos'!$B$7,'Flujo de Fondos'!$B$6)</f>
        <v/>
      </c>
      <c r="D100" s="53" t="n">
        <v>41.73</v>
      </c>
      <c r="E100" s="55">
        <f>myParidad('Flujo de Fondos'!$H$5,$A100,D100,'Flujo de Fondos'!$H$7,'Flujo de Fondos'!$H$6)</f>
        <v/>
      </c>
      <c r="F100" s="53" t="n">
        <v>35.85</v>
      </c>
      <c r="G100" s="54">
        <f>myParidad('Flujo de Fondos'!$N$5,$A100,F100,'Flujo de Fondos'!$N$7,'Flujo de Fondos'!$N$6)</f>
        <v/>
      </c>
      <c r="H100" s="56" t="n">
        <v>39.12</v>
      </c>
      <c r="I100" s="54">
        <f>myParidad('Flujo de Fondos'!$T$5,$A100,H100,'Flujo de Fondos'!$T$7,'Flujo de Fondos'!$T$6)</f>
        <v/>
      </c>
      <c r="J100" s="56" t="n">
        <v>33.54</v>
      </c>
      <c r="K100" s="54">
        <f>myParidad('Flujo de Fondos'!$B$34,$A100,J100,'Flujo de Fondos'!$B$36,'Flujo de Fondos'!$B$35)</f>
        <v/>
      </c>
      <c r="L100" s="53" t="n">
        <v>37.01</v>
      </c>
      <c r="M100" s="54">
        <f>myParidad('Flujo de Fondos'!$H$34,'Paridad usd'!$A100,'Paridad usd'!L100,'Flujo de Fondos'!$H$36,'Flujo de Fondos'!$H$35)</f>
        <v/>
      </c>
      <c r="N100" s="56" t="n">
        <v>34.61</v>
      </c>
      <c r="O100" s="54">
        <f>myParidad('Flujo de Fondos'!$N$34,$A100,N100,'Flujo de Fondos'!$N$36,'Flujo de Fondos'!$N$35)</f>
        <v/>
      </c>
      <c r="P100" s="57">
        <f>C100-G100</f>
        <v/>
      </c>
      <c r="Q100" s="57">
        <f>E100-C100</f>
        <v/>
      </c>
      <c r="R100" s="57">
        <f>C100-M100</f>
        <v/>
      </c>
      <c r="S100" s="55">
        <f>C100-O100</f>
        <v/>
      </c>
      <c r="T100" s="57">
        <f>E100-O100</f>
        <v/>
      </c>
      <c r="U100" s="57">
        <f>G100-O100</f>
        <v/>
      </c>
      <c r="V100" s="57">
        <f>G100-K100</f>
        <v/>
      </c>
      <c r="W100" s="57">
        <f>C100-K100</f>
        <v/>
      </c>
      <c r="X100" s="67">
        <f>I100-G100</f>
        <v/>
      </c>
      <c r="Y100" s="75">
        <f>G100-M100</f>
        <v/>
      </c>
    </row>
    <row r="101">
      <c r="A101" s="52" t="n">
        <v>44350</v>
      </c>
      <c r="B101" s="53" t="n">
        <v>38.2</v>
      </c>
      <c r="C101" s="54">
        <f>myParidad('Flujo de Fondos'!$B$5,A101,B101,'Flujo de Fondos'!$B$7,'Flujo de Fondos'!$B$6)</f>
        <v/>
      </c>
      <c r="D101" s="53" t="n">
        <v>41.8</v>
      </c>
      <c r="E101" s="55">
        <f>myParidad('Flujo de Fondos'!$H$5,$A101,D101,'Flujo de Fondos'!$H$7,'Flujo de Fondos'!$H$6)</f>
        <v/>
      </c>
      <c r="F101" s="53" t="n">
        <v>36.05</v>
      </c>
      <c r="G101" s="54">
        <f>myParidad('Flujo de Fondos'!$N$5,$A101,F101,'Flujo de Fondos'!$N$7,'Flujo de Fondos'!$N$6)</f>
        <v/>
      </c>
      <c r="H101" s="56" t="n">
        <v>38.86</v>
      </c>
      <c r="I101" s="54">
        <f>myParidad('Flujo de Fondos'!$T$5,$A101,H101,'Flujo de Fondos'!$T$7,'Flujo de Fondos'!$T$6)</f>
        <v/>
      </c>
      <c r="J101" s="56" t="n">
        <v>33.27</v>
      </c>
      <c r="K101" s="54">
        <f>myParidad('Flujo de Fondos'!$B$34,$A101,J101,'Flujo de Fondos'!$B$36,'Flujo de Fondos'!$B$35)</f>
        <v/>
      </c>
      <c r="L101" s="53" t="n">
        <v>36.96</v>
      </c>
      <c r="M101" s="54">
        <f>myParidad('Flujo de Fondos'!$H$34,'Paridad usd'!$A101,'Paridad usd'!L101,'Flujo de Fondos'!$H$36,'Flujo de Fondos'!$H$35)</f>
        <v/>
      </c>
      <c r="N101" s="56" t="n">
        <v>34.5</v>
      </c>
      <c r="O101" s="54">
        <f>myParidad('Flujo de Fondos'!$N$34,$A101,N101,'Flujo de Fondos'!$N$36,'Flujo de Fondos'!$N$35)</f>
        <v/>
      </c>
      <c r="P101" s="57">
        <f>C101-G101</f>
        <v/>
      </c>
      <c r="Q101" s="57">
        <f>E101-C101</f>
        <v/>
      </c>
      <c r="R101" s="57">
        <f>C101-M101</f>
        <v/>
      </c>
      <c r="S101" s="55">
        <f>C101-O101</f>
        <v/>
      </c>
      <c r="T101" s="57">
        <f>E101-O101</f>
        <v/>
      </c>
      <c r="U101" s="57">
        <f>G101-O101</f>
        <v/>
      </c>
      <c r="V101" s="57">
        <f>G101-K101</f>
        <v/>
      </c>
      <c r="W101" s="57">
        <f>C101-K101</f>
        <v/>
      </c>
      <c r="X101" s="67">
        <f>I101-G101</f>
        <v/>
      </c>
      <c r="Y101" s="75">
        <f>G101-M101</f>
        <v/>
      </c>
    </row>
    <row r="102">
      <c r="A102" s="52" t="n">
        <v>44349</v>
      </c>
      <c r="B102" s="53" t="n">
        <v>38.35</v>
      </c>
      <c r="C102" s="54">
        <f>myParidad('Flujo de Fondos'!$B$5,A102,B102,'Flujo de Fondos'!$B$7,'Flujo de Fondos'!$B$6)</f>
        <v/>
      </c>
      <c r="D102" s="53" t="n">
        <v>41.9</v>
      </c>
      <c r="E102" s="55">
        <f>myParidad('Flujo de Fondos'!$H$5,$A102,D102,'Flujo de Fondos'!$H$7,'Flujo de Fondos'!$H$6)</f>
        <v/>
      </c>
      <c r="F102" s="53" t="n">
        <v>36.3</v>
      </c>
      <c r="G102" s="54">
        <f>myParidad('Flujo de Fondos'!$N$5,$A102,F102,'Flujo de Fondos'!$N$7,'Flujo de Fondos'!$N$6)</f>
        <v/>
      </c>
      <c r="H102" s="56" t="n">
        <v>39.51</v>
      </c>
      <c r="I102" s="54">
        <f>myParidad('Flujo de Fondos'!$T$5,$A102,H102,'Flujo de Fondos'!$T$7,'Flujo de Fondos'!$T$6)</f>
        <v/>
      </c>
      <c r="J102" s="56" t="n">
        <v>34.2</v>
      </c>
      <c r="K102" s="54">
        <f>myParidad('Flujo de Fondos'!$B$34,$A102,J102,'Flujo de Fondos'!$B$36,'Flujo de Fondos'!$B$35)</f>
        <v/>
      </c>
      <c r="L102" s="53" t="n">
        <v>37.6</v>
      </c>
      <c r="M102" s="54">
        <f>myParidad('Flujo de Fondos'!$H$34,'Paridad usd'!$A102,'Paridad usd'!L102,'Flujo de Fondos'!$H$36,'Flujo de Fondos'!$H$35)</f>
        <v/>
      </c>
      <c r="N102" s="56" t="n">
        <v>35.36</v>
      </c>
      <c r="O102" s="54">
        <f>myParidad('Flujo de Fondos'!$N$34,$A102,N102,'Flujo de Fondos'!$N$36,'Flujo de Fondos'!$N$35)</f>
        <v/>
      </c>
      <c r="P102" s="57">
        <f>C102-G102</f>
        <v/>
      </c>
      <c r="Q102" s="57">
        <f>E102-C102</f>
        <v/>
      </c>
      <c r="R102" s="57">
        <f>C102-M102</f>
        <v/>
      </c>
      <c r="S102" s="55">
        <f>C102-O102</f>
        <v/>
      </c>
      <c r="T102" s="57">
        <f>E102-O102</f>
        <v/>
      </c>
      <c r="U102" s="57">
        <f>G102-O102</f>
        <v/>
      </c>
      <c r="V102" s="57">
        <f>G102-K102</f>
        <v/>
      </c>
      <c r="W102" s="57">
        <f>C102-K102</f>
        <v/>
      </c>
      <c r="X102" s="67">
        <f>I102-G102</f>
        <v/>
      </c>
      <c r="Y102" s="75">
        <f>G102-M102</f>
        <v/>
      </c>
    </row>
    <row r="103">
      <c r="A103" s="52" t="n">
        <v>44348</v>
      </c>
      <c r="B103" s="53" t="n">
        <v>37.85</v>
      </c>
      <c r="C103" s="54">
        <f>myParidad('Flujo de Fondos'!$B$5,A103,B103,'Flujo de Fondos'!$B$7,'Flujo de Fondos'!$B$6)</f>
        <v/>
      </c>
      <c r="D103" s="53" t="n">
        <v>40.8</v>
      </c>
      <c r="E103" s="55">
        <f>myParidad('Flujo de Fondos'!$H$5,$A103,D103,'Flujo de Fondos'!$H$7,'Flujo de Fondos'!$H$6)</f>
        <v/>
      </c>
      <c r="F103" s="53" t="n">
        <v>35.6</v>
      </c>
      <c r="G103" s="54">
        <f>myParidad('Flujo de Fondos'!$N$5,$A103,F103,'Flujo de Fondos'!$N$7,'Flujo de Fondos'!$N$6)</f>
        <v/>
      </c>
      <c r="H103" s="56" t="n">
        <v>38.8</v>
      </c>
      <c r="I103" s="54">
        <f>myParidad('Flujo de Fondos'!$T$5,$A103,H103,'Flujo de Fondos'!$T$7,'Flujo de Fondos'!$T$6)</f>
        <v/>
      </c>
      <c r="J103" s="56" t="n">
        <v>33.71</v>
      </c>
      <c r="K103" s="54">
        <f>myParidad('Flujo de Fondos'!$B$34,$A103,J103,'Flujo de Fondos'!$B$36,'Flujo de Fondos'!$B$35)</f>
        <v/>
      </c>
      <c r="L103" s="53" t="n">
        <v>36.8</v>
      </c>
      <c r="M103" s="54">
        <f>myParidad('Flujo de Fondos'!$H$34,'Paridad usd'!$A103,'Paridad usd'!L103,'Flujo de Fondos'!$H$36,'Flujo de Fondos'!$H$35)</f>
        <v/>
      </c>
      <c r="N103" s="56" t="n">
        <v>34.9</v>
      </c>
      <c r="O103" s="54">
        <f>myParidad('Flujo de Fondos'!$N$34,$A103,N103,'Flujo de Fondos'!$N$36,'Flujo de Fondos'!$N$35)</f>
        <v/>
      </c>
      <c r="P103" s="57">
        <f>C103-G103</f>
        <v/>
      </c>
      <c r="Q103" s="57">
        <f>E103-C103</f>
        <v/>
      </c>
      <c r="R103" s="57">
        <f>C103-M103</f>
        <v/>
      </c>
      <c r="S103" s="55">
        <f>C103-O103</f>
        <v/>
      </c>
      <c r="T103" s="57">
        <f>E103-O103</f>
        <v/>
      </c>
      <c r="U103" s="57">
        <f>G103-O103</f>
        <v/>
      </c>
      <c r="V103" s="57">
        <f>G103-K103</f>
        <v/>
      </c>
      <c r="W103" s="57">
        <f>C103-K103</f>
        <v/>
      </c>
      <c r="X103" s="67">
        <f>I103-G103</f>
        <v/>
      </c>
      <c r="Y103" s="75">
        <f>G103-M103</f>
        <v/>
      </c>
    </row>
    <row r="104">
      <c r="A104" s="52" t="n">
        <v>44347</v>
      </c>
      <c r="B104" s="53" t="n">
        <v>37.6</v>
      </c>
      <c r="C104" s="54">
        <f>myParidad('Flujo de Fondos'!$B$5,A104,B104,'Flujo de Fondos'!$B$7,'Flujo de Fondos'!$B$6)</f>
        <v/>
      </c>
      <c r="D104" s="53" t="n">
        <v>40.5</v>
      </c>
      <c r="E104" s="55">
        <f>myParidad('Flujo de Fondos'!$H$5,$A104,D104,'Flujo de Fondos'!$H$7,'Flujo de Fondos'!$H$6)</f>
        <v/>
      </c>
      <c r="F104" s="53" t="n">
        <v>35.3</v>
      </c>
      <c r="G104" s="54">
        <f>myParidad('Flujo de Fondos'!$N$5,$A104,F104,'Flujo de Fondos'!$N$7,'Flujo de Fondos'!$N$6)</f>
        <v/>
      </c>
      <c r="H104" s="56" t="n">
        <v>38.58</v>
      </c>
      <c r="I104" s="54">
        <f>myParidad('Flujo de Fondos'!$T$5,$A104,H104,'Flujo de Fondos'!$T$7,'Flujo de Fondos'!$T$6)</f>
        <v/>
      </c>
      <c r="J104" s="56" t="n">
        <v>33.4</v>
      </c>
      <c r="K104" s="54">
        <f>myParidad('Flujo de Fondos'!$B$34,$A104,J104,'Flujo de Fondos'!$B$36,'Flujo de Fondos'!$B$35)</f>
        <v/>
      </c>
      <c r="L104" s="53" t="n">
        <v>36.25</v>
      </c>
      <c r="M104" s="54">
        <f>myParidad('Flujo de Fondos'!$H$34,'Paridad usd'!$A104,'Paridad usd'!L104,'Flujo de Fondos'!$H$36,'Flujo de Fondos'!$H$35)</f>
        <v/>
      </c>
      <c r="N104" s="56" t="n">
        <v>34.4</v>
      </c>
      <c r="O104" s="54">
        <f>myParidad('Flujo de Fondos'!$N$34,$A104,N104,'Flujo de Fondos'!$N$36,'Flujo de Fondos'!$N$35)</f>
        <v/>
      </c>
      <c r="P104" s="57">
        <f>C104-G104</f>
        <v/>
      </c>
      <c r="Q104" s="57">
        <f>E104-C104</f>
        <v/>
      </c>
      <c r="R104" s="57">
        <f>C104-M104</f>
        <v/>
      </c>
      <c r="S104" s="55">
        <f>C104-O104</f>
        <v/>
      </c>
      <c r="T104" s="57">
        <f>E104-O104</f>
        <v/>
      </c>
      <c r="U104" s="57">
        <f>G104-O104</f>
        <v/>
      </c>
      <c r="V104" s="57">
        <f>G104-K104</f>
        <v/>
      </c>
      <c r="W104" s="57">
        <f>C104-K104</f>
        <v/>
      </c>
      <c r="X104" s="67">
        <f>I104-G104</f>
        <v/>
      </c>
      <c r="Y104" s="75">
        <f>G104-M104</f>
        <v/>
      </c>
    </row>
    <row r="105">
      <c r="A105" s="52" t="n">
        <v>44344</v>
      </c>
      <c r="B105" s="53" t="n">
        <v>37.64</v>
      </c>
      <c r="C105" s="54">
        <f>myParidad('Flujo de Fondos'!$B$5,A105,B105,'Flujo de Fondos'!$B$7,'Flujo de Fondos'!$B$6)</f>
        <v/>
      </c>
      <c r="D105" s="53" t="n">
        <v>40.01</v>
      </c>
      <c r="E105" s="55">
        <f>myParidad('Flujo de Fondos'!$H$5,$A105,D105,'Flujo de Fondos'!$H$7,'Flujo de Fondos'!$H$6)</f>
        <v/>
      </c>
      <c r="F105" s="53" t="n">
        <v>35.35</v>
      </c>
      <c r="G105" s="54">
        <f>myParidad('Flujo de Fondos'!$N$5,$A105,F105,'Flujo de Fondos'!$N$7,'Flujo de Fondos'!$N$6)</f>
        <v/>
      </c>
      <c r="H105" s="56" t="n">
        <v>38.55</v>
      </c>
      <c r="I105" s="54">
        <f>myParidad('Flujo de Fondos'!$T$5,$A105,H105,'Flujo de Fondos'!$T$7,'Flujo de Fondos'!$T$6)</f>
        <v/>
      </c>
      <c r="J105" s="56" t="n">
        <v>33.5</v>
      </c>
      <c r="K105" s="54">
        <f>myParidad('Flujo de Fondos'!$B$34,$A105,J105,'Flujo de Fondos'!$B$36,'Flujo de Fondos'!$B$35)</f>
        <v/>
      </c>
      <c r="L105" s="53" t="n">
        <v>36.32</v>
      </c>
      <c r="M105" s="54">
        <f>myParidad('Flujo de Fondos'!$H$34,'Paridad usd'!$A105,'Paridad usd'!L105,'Flujo de Fondos'!$H$36,'Flujo de Fondos'!$H$35)</f>
        <v/>
      </c>
      <c r="N105" s="56" t="n">
        <v>34.6</v>
      </c>
      <c r="O105" s="54">
        <f>myParidad('Flujo de Fondos'!$N$34,$A105,N105,'Flujo de Fondos'!$N$36,'Flujo de Fondos'!$N$35)</f>
        <v/>
      </c>
      <c r="P105" s="57">
        <f>C105-G105</f>
        <v/>
      </c>
      <c r="Q105" s="57">
        <f>E105-C105</f>
        <v/>
      </c>
      <c r="R105" s="57">
        <f>C105-M105</f>
        <v/>
      </c>
      <c r="S105" s="55">
        <f>C105-O105</f>
        <v/>
      </c>
      <c r="T105" s="57">
        <f>E105-O105</f>
        <v/>
      </c>
      <c r="U105" s="57">
        <f>G105-O105</f>
        <v/>
      </c>
      <c r="V105" s="57">
        <f>G105-K105</f>
        <v/>
      </c>
      <c r="W105" s="57">
        <f>C105-K105</f>
        <v/>
      </c>
      <c r="X105" s="67">
        <f>I105-G105</f>
        <v/>
      </c>
      <c r="Y105" s="75">
        <f>G105-M105</f>
        <v/>
      </c>
    </row>
    <row r="106">
      <c r="A106" s="52" t="n">
        <v>44343</v>
      </c>
      <c r="B106" s="53" t="n">
        <v>38.1</v>
      </c>
      <c r="C106" s="54">
        <f>myParidad('Flujo de Fondos'!$B$5,A106,B106,'Flujo de Fondos'!$B$7,'Flujo de Fondos'!$B$6)</f>
        <v/>
      </c>
      <c r="D106" s="53" t="n">
        <v>41</v>
      </c>
      <c r="E106" s="55">
        <f>myParidad('Flujo de Fondos'!$H$5,$A106,D106,'Flujo de Fondos'!$H$7,'Flujo de Fondos'!$H$6)</f>
        <v/>
      </c>
      <c r="F106" s="53" t="n">
        <v>35.66</v>
      </c>
      <c r="G106" s="54">
        <f>myParidad('Flujo de Fondos'!$N$5,$A106,F106,'Flujo de Fondos'!$N$7,'Flujo de Fondos'!$N$6)</f>
        <v/>
      </c>
      <c r="H106" s="56" t="n">
        <v>38.71</v>
      </c>
      <c r="I106" s="54">
        <f>myParidad('Flujo de Fondos'!$T$5,$A106,H106,'Flujo de Fondos'!$T$7,'Flujo de Fondos'!$T$6)</f>
        <v/>
      </c>
      <c r="J106" s="56" t="n">
        <v>33.8</v>
      </c>
      <c r="K106" s="54">
        <f>myParidad('Flujo de Fondos'!$B$34,$A106,J106,'Flujo de Fondos'!$B$36,'Flujo de Fondos'!$B$35)</f>
        <v/>
      </c>
      <c r="L106" s="53" t="n">
        <v>36.65</v>
      </c>
      <c r="M106" s="54">
        <f>myParidad('Flujo de Fondos'!$H$34,'Paridad usd'!$A106,'Paridad usd'!L106,'Flujo de Fondos'!$H$36,'Flujo de Fondos'!$H$35)</f>
        <v/>
      </c>
      <c r="N106" s="56" t="n">
        <v>35.25</v>
      </c>
      <c r="O106" s="54">
        <f>myParidad('Flujo de Fondos'!$N$34,$A106,N106,'Flujo de Fondos'!$N$36,'Flujo de Fondos'!$N$35)</f>
        <v/>
      </c>
      <c r="P106" s="57">
        <f>C106-G106</f>
        <v/>
      </c>
      <c r="Q106" s="57">
        <f>E106-C106</f>
        <v/>
      </c>
      <c r="R106" s="57">
        <f>C106-M106</f>
        <v/>
      </c>
      <c r="S106" s="55">
        <f>C106-O106</f>
        <v/>
      </c>
      <c r="T106" s="57">
        <f>E106-O106</f>
        <v/>
      </c>
      <c r="U106" s="57">
        <f>G106-O106</f>
        <v/>
      </c>
      <c r="V106" s="57">
        <f>G106-K106</f>
        <v/>
      </c>
      <c r="W106" s="57">
        <f>C106-K106</f>
        <v/>
      </c>
      <c r="X106" s="67">
        <f>I106-G106</f>
        <v/>
      </c>
      <c r="Y106" s="75">
        <f>G106-M106</f>
        <v/>
      </c>
    </row>
    <row r="107">
      <c r="A107" s="52" t="n">
        <v>44342</v>
      </c>
      <c r="B107" s="53" t="n">
        <v>37.77</v>
      </c>
      <c r="C107" s="54">
        <f>myParidad('Flujo de Fondos'!$B$5,A107,B107,'Flujo de Fondos'!$B$7,'Flujo de Fondos'!$B$6)</f>
        <v/>
      </c>
      <c r="D107" s="53" t="n">
        <v>40.6</v>
      </c>
      <c r="E107" s="55">
        <f>myParidad('Flujo de Fondos'!$H$5,$A107,D107,'Flujo de Fondos'!$H$7,'Flujo de Fondos'!$H$6)</f>
        <v/>
      </c>
      <c r="F107" s="53" t="n">
        <v>35.45</v>
      </c>
      <c r="G107" s="54">
        <f>myParidad('Flujo de Fondos'!$N$5,$A107,F107,'Flujo de Fondos'!$N$7,'Flujo de Fondos'!$N$6)</f>
        <v/>
      </c>
      <c r="H107" s="56" t="n">
        <v>38.75</v>
      </c>
      <c r="I107" s="54">
        <f>myParidad('Flujo de Fondos'!$T$5,$A107,H107,'Flujo de Fondos'!$T$7,'Flujo de Fondos'!$T$6)</f>
        <v/>
      </c>
      <c r="J107" s="56" t="n">
        <v>33.45</v>
      </c>
      <c r="K107" s="54">
        <f>myParidad('Flujo de Fondos'!$B$34,$A107,J107,'Flujo de Fondos'!$B$36,'Flujo de Fondos'!$B$35)</f>
        <v/>
      </c>
      <c r="L107" s="53" t="n">
        <v>36.65</v>
      </c>
      <c r="M107" s="54">
        <f>myParidad('Flujo de Fondos'!$H$34,'Paridad usd'!$A107,'Paridad usd'!L107,'Flujo de Fondos'!$H$36,'Flujo de Fondos'!$H$35)</f>
        <v/>
      </c>
      <c r="N107" s="56" t="n">
        <v>34.7</v>
      </c>
      <c r="O107" s="54">
        <f>myParidad('Flujo de Fondos'!$N$34,$A107,N107,'Flujo de Fondos'!$N$36,'Flujo de Fondos'!$N$35)</f>
        <v/>
      </c>
      <c r="P107" s="57">
        <f>C107-G107</f>
        <v/>
      </c>
      <c r="Q107" s="57">
        <f>E107-C107</f>
        <v/>
      </c>
      <c r="R107" s="57">
        <f>C107-M107</f>
        <v/>
      </c>
      <c r="S107" s="55">
        <f>C107-O107</f>
        <v/>
      </c>
      <c r="T107" s="57">
        <f>E107-O107</f>
        <v/>
      </c>
      <c r="U107" s="57">
        <f>G107-O107</f>
        <v/>
      </c>
      <c r="V107" s="57">
        <f>G107-K107</f>
        <v/>
      </c>
      <c r="W107" s="57">
        <f>C107-K107</f>
        <v/>
      </c>
      <c r="X107" s="67">
        <f>I107-G107</f>
        <v/>
      </c>
      <c r="Y107" s="75">
        <f>G107-M107</f>
        <v/>
      </c>
    </row>
    <row r="108">
      <c r="A108" s="52" t="n">
        <v>44337</v>
      </c>
      <c r="B108" s="53" t="n">
        <v>36.93</v>
      </c>
      <c r="C108" s="54">
        <f>myParidad('Flujo de Fondos'!$B$5,A108,B108,'Flujo de Fondos'!$B$7,'Flujo de Fondos'!$B$6)</f>
        <v/>
      </c>
      <c r="D108" s="53" t="n">
        <v>40.3</v>
      </c>
      <c r="E108" s="55">
        <f>myParidad('Flujo de Fondos'!$H$5,$A108,D108,'Flujo de Fondos'!$H$7,'Flujo de Fondos'!$H$6)</f>
        <v/>
      </c>
      <c r="F108" s="53" t="n">
        <v>34.4</v>
      </c>
      <c r="G108" s="54">
        <f>myParidad('Flujo de Fondos'!$N$5,$A108,F108,'Flujo de Fondos'!$N$7,'Flujo de Fondos'!$N$6)</f>
        <v/>
      </c>
      <c r="H108" s="56" t="n">
        <v>37.5</v>
      </c>
      <c r="I108" s="54">
        <f>myParidad('Flujo de Fondos'!$T$5,$A108,H108,'Flujo de Fondos'!$T$7,'Flujo de Fondos'!$T$6)</f>
        <v/>
      </c>
      <c r="J108" s="56" t="n">
        <v>32.25</v>
      </c>
      <c r="K108" s="54">
        <f>myParidad('Flujo de Fondos'!$B$34,$A108,J108,'Flujo de Fondos'!$B$36,'Flujo de Fondos'!$B$35)</f>
        <v/>
      </c>
      <c r="L108" s="53" t="n">
        <v>35.07</v>
      </c>
      <c r="M108" s="54">
        <f>myParidad('Flujo de Fondos'!$H$34,'Paridad usd'!$A108,'Paridad usd'!L108,'Flujo de Fondos'!$H$36,'Flujo de Fondos'!$H$35)</f>
        <v/>
      </c>
      <c r="N108" s="56" t="n">
        <v>33.36</v>
      </c>
      <c r="O108" s="54">
        <f>myParidad('Flujo de Fondos'!$N$34,$A108,N108,'Flujo de Fondos'!$N$36,'Flujo de Fondos'!$N$35)</f>
        <v/>
      </c>
      <c r="P108" s="57">
        <f>C108-G108</f>
        <v/>
      </c>
      <c r="Q108" s="57">
        <f>E108-C108</f>
        <v/>
      </c>
      <c r="R108" s="57">
        <f>C108-M108</f>
        <v/>
      </c>
      <c r="S108" s="55">
        <f>C108-O108</f>
        <v/>
      </c>
      <c r="T108" s="57">
        <f>E108-O108</f>
        <v/>
      </c>
      <c r="U108" s="57">
        <f>G108-O108</f>
        <v/>
      </c>
      <c r="V108" s="57">
        <f>G108-K108</f>
        <v/>
      </c>
      <c r="W108" s="57">
        <f>C108-K108</f>
        <v/>
      </c>
      <c r="X108" s="67">
        <f>I108-G108</f>
        <v/>
      </c>
      <c r="Y108" s="75">
        <f>G108-M108</f>
        <v/>
      </c>
    </row>
    <row r="109">
      <c r="A109" s="52" t="n">
        <v>44336</v>
      </c>
      <c r="B109" s="53" t="n">
        <v>37.29</v>
      </c>
      <c r="C109" s="54">
        <f>myParidad('Flujo de Fondos'!$B$5,A109,B109,'Flujo de Fondos'!$B$7,'Flujo de Fondos'!$B$6)</f>
        <v/>
      </c>
      <c r="D109" s="53" t="n">
        <v>40.3</v>
      </c>
      <c r="E109" s="55">
        <f>myParidad('Flujo de Fondos'!$H$5,$A109,D109,'Flujo de Fondos'!$H$7,'Flujo de Fondos'!$H$6)</f>
        <v/>
      </c>
      <c r="F109" s="53" t="n">
        <v>34.78</v>
      </c>
      <c r="G109" s="54">
        <f>myParidad('Flujo de Fondos'!$N$5,$A109,F109,'Flujo de Fondos'!$N$7,'Flujo de Fondos'!$N$6)</f>
        <v/>
      </c>
      <c r="H109" s="56" t="n">
        <v>37.99</v>
      </c>
      <c r="I109" s="54">
        <f>myParidad('Flujo de Fondos'!$T$5,$A109,H109,'Flujo de Fondos'!$T$7,'Flujo de Fondos'!$T$6)</f>
        <v/>
      </c>
      <c r="J109" s="56" t="n">
        <v>32.8</v>
      </c>
      <c r="K109" s="54">
        <f>myParidad('Flujo de Fondos'!$B$34,$A109,J109,'Flujo de Fondos'!$B$36,'Flujo de Fondos'!$B$35)</f>
        <v/>
      </c>
      <c r="L109" s="53" t="n">
        <v>35.25</v>
      </c>
      <c r="M109" s="54">
        <f>myParidad('Flujo de Fondos'!$H$34,'Paridad usd'!$A109,'Paridad usd'!L109,'Flujo de Fondos'!$H$36,'Flujo de Fondos'!$H$35)</f>
        <v/>
      </c>
      <c r="N109" s="56" t="n">
        <v>33</v>
      </c>
      <c r="O109" s="54">
        <f>myParidad('Flujo de Fondos'!$N$34,$A109,N109,'Flujo de Fondos'!$N$36,'Flujo de Fondos'!$N$35)</f>
        <v/>
      </c>
      <c r="P109" s="57">
        <f>C109-G109</f>
        <v/>
      </c>
      <c r="Q109" s="57">
        <f>E109-C109</f>
        <v/>
      </c>
      <c r="R109" s="57">
        <f>C109-M109</f>
        <v/>
      </c>
      <c r="S109" s="55">
        <f>C109-O109</f>
        <v/>
      </c>
      <c r="T109" s="57">
        <f>E109-O109</f>
        <v/>
      </c>
      <c r="U109" s="57">
        <f>G109-O109</f>
        <v/>
      </c>
      <c r="V109" s="57">
        <f>G109-K109</f>
        <v/>
      </c>
      <c r="W109" s="57">
        <f>C109-K109</f>
        <v/>
      </c>
      <c r="X109" s="67">
        <f>I109-G109</f>
        <v/>
      </c>
      <c r="Y109" s="75">
        <f>G109-M109</f>
        <v/>
      </c>
    </row>
    <row r="110">
      <c r="A110" s="52" t="n">
        <v>44335</v>
      </c>
      <c r="B110" s="53" t="n">
        <v>37.45</v>
      </c>
      <c r="C110" s="54">
        <f>myParidad('Flujo de Fondos'!$B$5,A110,B110,'Flujo de Fondos'!$B$7,'Flujo de Fondos'!$B$6)</f>
        <v/>
      </c>
      <c r="D110" s="53" t="n">
        <v>40.1</v>
      </c>
      <c r="E110" s="55">
        <f>myParidad('Flujo de Fondos'!$H$5,$A110,D110,'Flujo de Fondos'!$H$7,'Flujo de Fondos'!$H$6)</f>
        <v/>
      </c>
      <c r="F110" s="53" t="n">
        <v>35.07</v>
      </c>
      <c r="G110" s="54">
        <f>myParidad('Flujo de Fondos'!$N$5,$A110,F110,'Flujo de Fondos'!$N$7,'Flujo de Fondos'!$N$6)</f>
        <v/>
      </c>
      <c r="H110" s="56" t="n">
        <v>37.9</v>
      </c>
      <c r="I110" s="54">
        <f>myParidad('Flujo de Fondos'!$T$5,$A110,H110,'Flujo de Fondos'!$T$7,'Flujo de Fondos'!$T$6)</f>
        <v/>
      </c>
      <c r="J110" s="56" t="n">
        <v>32.9</v>
      </c>
      <c r="K110" s="54">
        <f>myParidad('Flujo de Fondos'!$B$34,$A110,J110,'Flujo de Fondos'!$B$36,'Flujo de Fondos'!$B$35)</f>
        <v/>
      </c>
      <c r="L110" s="53" t="n">
        <v>35.15</v>
      </c>
      <c r="M110" s="54">
        <f>myParidad('Flujo de Fondos'!$H$34,'Paridad usd'!$A110,'Paridad usd'!L110,'Flujo de Fondos'!$H$36,'Flujo de Fondos'!$H$35)</f>
        <v/>
      </c>
      <c r="N110" s="56" t="n">
        <v>33.6</v>
      </c>
      <c r="O110" s="54">
        <f>myParidad('Flujo de Fondos'!$N$34,$A110,N110,'Flujo de Fondos'!$N$36,'Flujo de Fondos'!$N$35)</f>
        <v/>
      </c>
      <c r="P110" s="57">
        <f>C110-G110</f>
        <v/>
      </c>
      <c r="Q110" s="57">
        <f>E110-C110</f>
        <v/>
      </c>
      <c r="R110" s="57">
        <f>C110-M110</f>
        <v/>
      </c>
      <c r="S110" s="55">
        <f>C110-O110</f>
        <v/>
      </c>
      <c r="T110" s="57">
        <f>E110-O110</f>
        <v/>
      </c>
      <c r="U110" s="57">
        <f>G110-O110</f>
        <v/>
      </c>
      <c r="V110" s="57">
        <f>G110-K110</f>
        <v/>
      </c>
      <c r="W110" s="57">
        <f>C110-K110</f>
        <v/>
      </c>
      <c r="X110" s="67">
        <f>I110-G110</f>
        <v/>
      </c>
      <c r="Y110" s="75">
        <f>G110-M110</f>
        <v/>
      </c>
    </row>
    <row r="111">
      <c r="A111" s="52" t="n">
        <v>44334</v>
      </c>
      <c r="B111" s="53" t="n">
        <v>38</v>
      </c>
      <c r="C111" s="54">
        <f>myParidad('Flujo de Fondos'!$B$5,A111,B111,'Flujo de Fondos'!$B$7,'Flujo de Fondos'!$B$6)</f>
        <v/>
      </c>
      <c r="D111" s="53" t="n">
        <v>40.25</v>
      </c>
      <c r="E111" s="55">
        <f>myParidad('Flujo de Fondos'!$H$5,$A111,D111,'Flujo de Fondos'!$H$7,'Flujo de Fondos'!$H$6)</f>
        <v/>
      </c>
      <c r="F111" s="53" t="n">
        <v>35.7</v>
      </c>
      <c r="G111" s="54">
        <f>myParidad('Flujo de Fondos'!$N$5,$A111,F111,'Flujo de Fondos'!$N$7,'Flujo de Fondos'!$N$6)</f>
        <v/>
      </c>
      <c r="H111" s="56" t="n">
        <v>38.38</v>
      </c>
      <c r="I111" s="54">
        <f>myParidad('Flujo de Fondos'!$T$5,$A111,H111,'Flujo de Fondos'!$T$7,'Flujo de Fondos'!$T$6)</f>
        <v/>
      </c>
      <c r="J111" s="56" t="n">
        <v>32.9</v>
      </c>
      <c r="K111" s="54">
        <f>myParidad('Flujo de Fondos'!$B$34,$A111,J111,'Flujo de Fondos'!$B$36,'Flujo de Fondos'!$B$35)</f>
        <v/>
      </c>
      <c r="L111" s="53" t="n">
        <v>35.5</v>
      </c>
      <c r="M111" s="54">
        <f>myParidad('Flujo de Fondos'!$H$34,'Paridad usd'!$A111,'Paridad usd'!L111,'Flujo de Fondos'!$H$36,'Flujo de Fondos'!$H$35)</f>
        <v/>
      </c>
      <c r="N111" s="56" t="n">
        <v>33.5</v>
      </c>
      <c r="O111" s="54">
        <f>myParidad('Flujo de Fondos'!$N$34,$A111,N111,'Flujo de Fondos'!$N$36,'Flujo de Fondos'!$N$35)</f>
        <v/>
      </c>
      <c r="P111" s="57">
        <f>C111-G111</f>
        <v/>
      </c>
      <c r="Q111" s="57">
        <f>E111-C111</f>
        <v/>
      </c>
      <c r="R111" s="57">
        <f>C111-M111</f>
        <v/>
      </c>
      <c r="S111" s="55">
        <f>C111-O111</f>
        <v/>
      </c>
      <c r="T111" s="57">
        <f>E111-O111</f>
        <v/>
      </c>
      <c r="U111" s="57">
        <f>G111-O111</f>
        <v/>
      </c>
      <c r="V111" s="57">
        <f>G111-K111</f>
        <v/>
      </c>
      <c r="W111" s="57">
        <f>C111-K111</f>
        <v/>
      </c>
      <c r="X111" s="67">
        <f>I111-G111</f>
        <v/>
      </c>
      <c r="Y111" s="75">
        <f>G111-M111</f>
        <v/>
      </c>
    </row>
    <row r="112">
      <c r="A112" s="52" t="n">
        <v>44333</v>
      </c>
      <c r="B112" s="53" t="n">
        <v>38.05</v>
      </c>
      <c r="C112" s="54">
        <f>myParidad('Flujo de Fondos'!$B$5,A112,B112,'Flujo de Fondos'!$B$7,'Flujo de Fondos'!$B$6)</f>
        <v/>
      </c>
      <c r="D112" s="53" t="n">
        <v>40.7</v>
      </c>
      <c r="E112" s="55">
        <f>myParidad('Flujo de Fondos'!$H$5,$A112,D112,'Flujo de Fondos'!$H$7,'Flujo de Fondos'!$H$6)</f>
        <v/>
      </c>
      <c r="F112" s="53" t="n">
        <v>35.7</v>
      </c>
      <c r="G112" s="54">
        <f>myParidad('Flujo de Fondos'!$N$5,$A112,F112,'Flujo de Fondos'!$N$7,'Flujo de Fondos'!$N$6)</f>
        <v/>
      </c>
      <c r="H112" s="56" t="n">
        <v>38.38</v>
      </c>
      <c r="I112" s="54">
        <f>myParidad('Flujo de Fondos'!$T$5,$A112,H112,'Flujo de Fondos'!$T$7,'Flujo de Fondos'!$T$6)</f>
        <v/>
      </c>
      <c r="J112" s="56" t="n">
        <v>32.9</v>
      </c>
      <c r="K112" s="54">
        <f>myParidad('Flujo de Fondos'!$B$34,$A112,J112,'Flujo de Fondos'!$B$36,'Flujo de Fondos'!$B$35)</f>
        <v/>
      </c>
      <c r="L112" s="53" t="n">
        <v>35.2</v>
      </c>
      <c r="M112" s="54">
        <f>myParidad('Flujo de Fondos'!$H$34,'Paridad usd'!$A112,'Paridad usd'!L112,'Flujo de Fondos'!$H$36,'Flujo de Fondos'!$H$35)</f>
        <v/>
      </c>
      <c r="N112" s="56" t="n">
        <v>33.79</v>
      </c>
      <c r="O112" s="54">
        <f>myParidad('Flujo de Fondos'!$N$34,$A112,N112,'Flujo de Fondos'!$N$36,'Flujo de Fondos'!$N$35)</f>
        <v/>
      </c>
      <c r="P112" s="57">
        <f>C112-G112</f>
        <v/>
      </c>
      <c r="Q112" s="57">
        <f>E112-C112</f>
        <v/>
      </c>
      <c r="R112" s="57">
        <f>C112-M112</f>
        <v/>
      </c>
      <c r="S112" s="55">
        <f>C112-O112</f>
        <v/>
      </c>
      <c r="T112" s="57">
        <f>E112-O112</f>
        <v/>
      </c>
      <c r="U112" s="57">
        <f>G112-O112</f>
        <v/>
      </c>
      <c r="V112" s="57">
        <f>G112-K112</f>
        <v/>
      </c>
      <c r="W112" s="57">
        <f>C112-K112</f>
        <v/>
      </c>
      <c r="X112" s="67">
        <f>I112-G112</f>
        <v/>
      </c>
      <c r="Y112" s="75">
        <f>G112-M112</f>
        <v/>
      </c>
    </row>
    <row r="113">
      <c r="A113" s="52" t="n">
        <v>44330</v>
      </c>
      <c r="B113" s="53" t="n">
        <v>37.42</v>
      </c>
      <c r="C113" s="54">
        <f>myParidad('Flujo de Fondos'!$B$5,A113,B113,'Flujo de Fondos'!$B$7,'Flujo de Fondos'!$B$6)</f>
        <v/>
      </c>
      <c r="D113" s="53" t="n">
        <v>39.5</v>
      </c>
      <c r="E113" s="55">
        <f>myParidad('Flujo de Fondos'!$H$5,$A113,D113,'Flujo de Fondos'!$H$7,'Flujo de Fondos'!$H$6)</f>
        <v/>
      </c>
      <c r="F113" s="53" t="n">
        <v>35.09</v>
      </c>
      <c r="G113" s="54">
        <f>myParidad('Flujo de Fondos'!$N$5,$A113,F113,'Flujo de Fondos'!$N$7,'Flujo de Fondos'!$N$6)</f>
        <v/>
      </c>
      <c r="H113" s="56" t="n">
        <v>37.45</v>
      </c>
      <c r="I113" s="54">
        <f>myParidad('Flujo de Fondos'!$T$5,$A113,H113,'Flujo de Fondos'!$T$7,'Flujo de Fondos'!$T$6)</f>
        <v/>
      </c>
      <c r="J113" s="56" t="n">
        <v>32.45</v>
      </c>
      <c r="K113" s="54">
        <f>myParidad('Flujo de Fondos'!$B$34,$A113,J113,'Flujo de Fondos'!$B$36,'Flujo de Fondos'!$B$35)</f>
        <v/>
      </c>
      <c r="L113" s="53" t="n">
        <v>34.5</v>
      </c>
      <c r="M113" s="54">
        <f>myParidad('Flujo de Fondos'!$H$34,'Paridad usd'!$A113,'Paridad usd'!L113,'Flujo de Fondos'!$H$36,'Flujo de Fondos'!$H$35)</f>
        <v/>
      </c>
      <c r="N113" s="56" t="n">
        <v>33.05</v>
      </c>
      <c r="O113" s="54">
        <f>myParidad('Flujo de Fondos'!$N$34,$A113,N113,'Flujo de Fondos'!$N$36,'Flujo de Fondos'!$N$35)</f>
        <v/>
      </c>
      <c r="P113" s="57">
        <f>C113-G113</f>
        <v/>
      </c>
      <c r="Q113" s="57">
        <f>E113-C113</f>
        <v/>
      </c>
      <c r="R113" s="57">
        <f>C113-M113</f>
        <v/>
      </c>
      <c r="S113" s="55">
        <f>C113-O113</f>
        <v/>
      </c>
      <c r="T113" s="57">
        <f>E113-O113</f>
        <v/>
      </c>
      <c r="U113" s="57">
        <f>G113-O113</f>
        <v/>
      </c>
      <c r="V113" s="57">
        <f>G113-K113</f>
        <v/>
      </c>
      <c r="W113" s="57">
        <f>C113-K113</f>
        <v/>
      </c>
      <c r="X113" s="67">
        <f>I113-G113</f>
        <v/>
      </c>
      <c r="Y113" s="75">
        <f>G113-M113</f>
        <v/>
      </c>
    </row>
    <row r="114">
      <c r="A114" s="52" t="n">
        <v>44329</v>
      </c>
      <c r="B114" s="53" t="n">
        <v>36.45</v>
      </c>
      <c r="C114" s="54">
        <f>myParidad('Flujo de Fondos'!$B$5,A114,B114,'Flujo de Fondos'!$B$7,'Flujo de Fondos'!$B$6)</f>
        <v/>
      </c>
      <c r="D114" s="53" t="n">
        <v>38.71</v>
      </c>
      <c r="E114" s="55">
        <f>myParidad('Flujo de Fondos'!$H$5,$A114,D114,'Flujo de Fondos'!$H$7,'Flujo de Fondos'!$H$6)</f>
        <v/>
      </c>
      <c r="F114" s="53" t="n">
        <v>34.22</v>
      </c>
      <c r="G114" s="54">
        <f>myParidad('Flujo de Fondos'!$N$5,$A114,F114,'Flujo de Fondos'!$N$7,'Flujo de Fondos'!$N$6)</f>
        <v/>
      </c>
      <c r="H114" s="56" t="n">
        <v>36.45</v>
      </c>
      <c r="I114" s="54">
        <f>myParidad('Flujo de Fondos'!$T$5,$A114,H114,'Flujo de Fondos'!$T$7,'Flujo de Fondos'!$T$6)</f>
        <v/>
      </c>
      <c r="J114" s="56" t="n">
        <v>31.2</v>
      </c>
      <c r="K114" s="54">
        <f>myParidad('Flujo de Fondos'!$B$34,$A114,J114,'Flujo de Fondos'!$B$36,'Flujo de Fondos'!$B$35)</f>
        <v/>
      </c>
      <c r="L114" s="53" t="n">
        <v>33.53</v>
      </c>
      <c r="M114" s="54">
        <f>myParidad('Flujo de Fondos'!$H$34,'Paridad usd'!$A114,'Paridad usd'!L114,'Flujo de Fondos'!$H$36,'Flujo de Fondos'!$H$35)</f>
        <v/>
      </c>
      <c r="N114" s="56" t="n">
        <v>32.21</v>
      </c>
      <c r="O114" s="54">
        <f>myParidad('Flujo de Fondos'!$N$34,$A114,N114,'Flujo de Fondos'!$N$36,'Flujo de Fondos'!$N$35)</f>
        <v/>
      </c>
      <c r="P114" s="57">
        <f>C114-G114</f>
        <v/>
      </c>
      <c r="Q114" s="57">
        <f>E114-C114</f>
        <v/>
      </c>
      <c r="R114" s="57">
        <f>C114-M114</f>
        <v/>
      </c>
      <c r="S114" s="55">
        <f>C114-O114</f>
        <v/>
      </c>
      <c r="T114" s="57">
        <f>E114-O114</f>
        <v/>
      </c>
      <c r="U114" s="57">
        <f>G114-O114</f>
        <v/>
      </c>
      <c r="V114" s="57">
        <f>G114-K114</f>
        <v/>
      </c>
      <c r="W114" s="57">
        <f>C114-K114</f>
        <v/>
      </c>
      <c r="X114" s="67">
        <f>I114-G114</f>
        <v/>
      </c>
      <c r="Y114" s="75">
        <f>G114-M114</f>
        <v/>
      </c>
    </row>
    <row r="115">
      <c r="A115" s="52" t="n">
        <v>44328</v>
      </c>
      <c r="B115" s="53" t="n">
        <v>36.31</v>
      </c>
      <c r="C115" s="54">
        <f>myParidad('Flujo de Fondos'!$B$5,A115,B115,'Flujo de Fondos'!$B$7,'Flujo de Fondos'!$B$6)</f>
        <v/>
      </c>
      <c r="D115" s="53" t="n">
        <v>39.19</v>
      </c>
      <c r="E115" s="55">
        <f>myParidad('Flujo de Fondos'!$H$5,$A115,D115,'Flujo de Fondos'!$H$7,'Flujo de Fondos'!$H$6)</f>
        <v/>
      </c>
      <c r="F115" s="53" t="n">
        <v>34.11</v>
      </c>
      <c r="G115" s="54">
        <f>myParidad('Flujo de Fondos'!$N$5,$A115,F115,'Flujo de Fondos'!$N$7,'Flujo de Fondos'!$N$6)</f>
        <v/>
      </c>
      <c r="H115" s="56" t="n">
        <v>36.4</v>
      </c>
      <c r="I115" s="54">
        <f>myParidad('Flujo de Fondos'!$T$5,$A115,H115,'Flujo de Fondos'!$T$7,'Flujo de Fondos'!$T$6)</f>
        <v/>
      </c>
      <c r="J115" s="56" t="n">
        <v>31.32</v>
      </c>
      <c r="K115" s="54">
        <f>myParidad('Flujo de Fondos'!$B$34,$A115,J115,'Flujo de Fondos'!$B$36,'Flujo de Fondos'!$B$35)</f>
        <v/>
      </c>
      <c r="L115" s="53" t="n">
        <v>33.4</v>
      </c>
      <c r="M115" s="54">
        <f>myParidad('Flujo de Fondos'!$H$34,'Paridad usd'!$A115,'Paridad usd'!L115,'Flujo de Fondos'!$H$36,'Flujo de Fondos'!$H$35)</f>
        <v/>
      </c>
      <c r="N115" s="56" t="n">
        <v>32.25</v>
      </c>
      <c r="O115" s="54">
        <f>myParidad('Flujo de Fondos'!$N$34,$A115,N115,'Flujo de Fondos'!$N$36,'Flujo de Fondos'!$N$35)</f>
        <v/>
      </c>
      <c r="P115" s="57">
        <f>C115-G115</f>
        <v/>
      </c>
      <c r="Q115" s="57">
        <f>E115-C115</f>
        <v/>
      </c>
      <c r="R115" s="57">
        <f>C115-M115</f>
        <v/>
      </c>
      <c r="S115" s="55">
        <f>C115-O115</f>
        <v/>
      </c>
      <c r="T115" s="57">
        <f>E115-O115</f>
        <v/>
      </c>
      <c r="U115" s="57">
        <f>G115-O115</f>
        <v/>
      </c>
      <c r="V115" s="57">
        <f>G115-K115</f>
        <v/>
      </c>
      <c r="W115" s="57">
        <f>C115-K115</f>
        <v/>
      </c>
      <c r="X115" s="67">
        <f>I115-G115</f>
        <v/>
      </c>
      <c r="Y115" s="75">
        <f>G115-M115</f>
        <v/>
      </c>
    </row>
    <row r="116">
      <c r="A116" s="52" t="n">
        <v>44327</v>
      </c>
      <c r="B116" s="53" t="n">
        <v>35.99</v>
      </c>
      <c r="C116" s="54">
        <f>myParidad('Flujo de Fondos'!$B$5,A116,B116,'Flujo de Fondos'!$B$7,'Flujo de Fondos'!$B$6)</f>
        <v/>
      </c>
      <c r="D116" s="53" t="n">
        <v>38.82</v>
      </c>
      <c r="E116" s="55">
        <f>myParidad('Flujo de Fondos'!$H$5,$A116,D116,'Flujo de Fondos'!$H$7,'Flujo de Fondos'!$H$6)</f>
        <v/>
      </c>
      <c r="F116" s="53" t="n">
        <v>33.82</v>
      </c>
      <c r="G116" s="54">
        <f>myParidad('Flujo de Fondos'!$N$5,$A116,F116,'Flujo de Fondos'!$N$7,'Flujo de Fondos'!$N$6)</f>
        <v/>
      </c>
      <c r="H116" s="56" t="n">
        <v>35.9</v>
      </c>
      <c r="I116" s="54">
        <f>myParidad('Flujo de Fondos'!$T$5,$A116,H116,'Flujo de Fondos'!$T$7,'Flujo de Fondos'!$T$6)</f>
        <v/>
      </c>
      <c r="J116" s="56" t="n">
        <v>31.01</v>
      </c>
      <c r="K116" s="54">
        <f>myParidad('Flujo de Fondos'!$B$34,$A116,J116,'Flujo de Fondos'!$B$36,'Flujo de Fondos'!$B$35)</f>
        <v/>
      </c>
      <c r="L116" s="53" t="n">
        <v>33.15</v>
      </c>
      <c r="M116" s="54">
        <f>myParidad('Flujo de Fondos'!$H$34,'Paridad usd'!$A116,'Paridad usd'!L116,'Flujo de Fondos'!$H$36,'Flujo de Fondos'!$H$35)</f>
        <v/>
      </c>
      <c r="N116" s="56" t="n">
        <v>32</v>
      </c>
      <c r="O116" s="54">
        <f>myParidad('Flujo de Fondos'!$N$34,$A116,N116,'Flujo de Fondos'!$N$36,'Flujo de Fondos'!$N$35)</f>
        <v/>
      </c>
      <c r="P116" s="57">
        <f>C116-G116</f>
        <v/>
      </c>
      <c r="Q116" s="57">
        <f>E116-C116</f>
        <v/>
      </c>
      <c r="R116" s="57">
        <f>C116-M116</f>
        <v/>
      </c>
      <c r="S116" s="55">
        <f>C116-O116</f>
        <v/>
      </c>
      <c r="T116" s="57">
        <f>E116-O116</f>
        <v/>
      </c>
      <c r="U116" s="57">
        <f>G116-O116</f>
        <v/>
      </c>
      <c r="V116" s="57">
        <f>G116-K116</f>
        <v/>
      </c>
      <c r="W116" s="57">
        <f>C116-K116</f>
        <v/>
      </c>
      <c r="X116" s="67">
        <f>I116-G116</f>
        <v/>
      </c>
      <c r="Y116" s="75">
        <f>G116-M116</f>
        <v/>
      </c>
    </row>
    <row r="117">
      <c r="A117" s="52" t="n">
        <v>44326</v>
      </c>
      <c r="B117" s="53" t="n">
        <v>36.4</v>
      </c>
      <c r="C117" s="54">
        <f>myParidad('Flujo de Fondos'!$B$5,A117,B117,'Flujo de Fondos'!$B$7,'Flujo de Fondos'!$B$6)</f>
        <v/>
      </c>
      <c r="D117" s="53" t="n">
        <v>39.5</v>
      </c>
      <c r="E117" s="55">
        <f>myParidad('Flujo de Fondos'!$H$5,$A117,D117,'Flujo de Fondos'!$H$7,'Flujo de Fondos'!$H$6)</f>
        <v/>
      </c>
      <c r="F117" s="53" t="n">
        <v>34.4</v>
      </c>
      <c r="G117" s="54">
        <f>myParidad('Flujo de Fondos'!$N$5,$A117,F117,'Flujo de Fondos'!$N$7,'Flujo de Fondos'!$N$6)</f>
        <v/>
      </c>
      <c r="H117" s="56" t="n">
        <v>36.48</v>
      </c>
      <c r="I117" s="54">
        <f>myParidad('Flujo de Fondos'!$T$5,$A117,H117,'Flujo de Fondos'!$T$7,'Flujo de Fondos'!$T$6)</f>
        <v/>
      </c>
      <c r="J117" s="56" t="n">
        <v>31.4</v>
      </c>
      <c r="K117" s="54">
        <f>myParidad('Flujo de Fondos'!$B$34,$A117,J117,'Flujo de Fondos'!$B$36,'Flujo de Fondos'!$B$35)</f>
        <v/>
      </c>
      <c r="L117" s="53" t="n">
        <v>33.54</v>
      </c>
      <c r="M117" s="54">
        <f>myParidad('Flujo de Fondos'!$H$34,'Paridad usd'!$A117,'Paridad usd'!L117,'Flujo de Fondos'!$H$36,'Flujo de Fondos'!$H$35)</f>
        <v/>
      </c>
      <c r="N117" s="56" t="n">
        <v>32.25</v>
      </c>
      <c r="O117" s="54">
        <f>myParidad('Flujo de Fondos'!$N$34,$A117,N117,'Flujo de Fondos'!$N$36,'Flujo de Fondos'!$N$35)</f>
        <v/>
      </c>
      <c r="P117" s="57">
        <f>C117-G117</f>
        <v/>
      </c>
      <c r="Q117" s="57">
        <f>E117-C117</f>
        <v/>
      </c>
      <c r="R117" s="57">
        <f>C117-M117</f>
        <v/>
      </c>
      <c r="S117" s="55">
        <f>C117-O117</f>
        <v/>
      </c>
      <c r="T117" s="57">
        <f>E117-O117</f>
        <v/>
      </c>
      <c r="U117" s="57">
        <f>G117-O117</f>
        <v/>
      </c>
      <c r="V117" s="57">
        <f>G117-K117</f>
        <v/>
      </c>
      <c r="W117" s="57">
        <f>C117-K117</f>
        <v/>
      </c>
      <c r="X117" s="67">
        <f>I117-G117</f>
        <v/>
      </c>
      <c r="Y117" s="75">
        <f>G117-M117</f>
        <v/>
      </c>
    </row>
    <row r="118">
      <c r="A118" s="52" t="n">
        <v>44323</v>
      </c>
      <c r="B118" s="53" t="n">
        <v>36.3</v>
      </c>
      <c r="C118" s="54">
        <f>myParidad('Flujo de Fondos'!$B$5,A118,B118,'Flujo de Fondos'!$B$7,'Flujo de Fondos'!$B$6)</f>
        <v/>
      </c>
      <c r="D118" s="53" t="n">
        <v>38.8</v>
      </c>
      <c r="E118" s="55">
        <f>myParidad('Flujo de Fondos'!$H$5,$A118,D118,'Flujo de Fondos'!$H$7,'Flujo de Fondos'!$H$6)</f>
        <v/>
      </c>
      <c r="F118" s="53" t="n">
        <v>34.3</v>
      </c>
      <c r="G118" s="54">
        <f>myParidad('Flujo de Fondos'!$N$5,$A118,F118,'Flujo de Fondos'!$N$7,'Flujo de Fondos'!$N$6)</f>
        <v/>
      </c>
      <c r="H118" s="56" t="n">
        <v>36.32</v>
      </c>
      <c r="I118" s="54">
        <f>myParidad('Flujo de Fondos'!$T$5,$A118,H118,'Flujo de Fondos'!$T$7,'Flujo de Fondos'!$T$6)</f>
        <v/>
      </c>
      <c r="J118" s="56" t="n">
        <v>31.35</v>
      </c>
      <c r="K118" s="54">
        <f>myParidad('Flujo de Fondos'!$B$34,$A118,J118,'Flujo de Fondos'!$B$36,'Flujo de Fondos'!$B$35)</f>
        <v/>
      </c>
      <c r="L118" s="53" t="n">
        <v>33.45</v>
      </c>
      <c r="M118" s="54">
        <f>myParidad('Flujo de Fondos'!$H$34,'Paridad usd'!$A118,'Paridad usd'!L118,'Flujo de Fondos'!$H$36,'Flujo de Fondos'!$H$35)</f>
        <v/>
      </c>
      <c r="N118" s="56" t="n">
        <v>32.3</v>
      </c>
      <c r="O118" s="54">
        <f>myParidad('Flujo de Fondos'!$N$34,$A118,N118,'Flujo de Fondos'!$N$36,'Flujo de Fondos'!$N$35)</f>
        <v/>
      </c>
      <c r="P118" s="57">
        <f>C118-G118</f>
        <v/>
      </c>
      <c r="Q118" s="57">
        <f>E118-C118</f>
        <v/>
      </c>
      <c r="R118" s="57">
        <f>C118-M118</f>
        <v/>
      </c>
      <c r="S118" s="55">
        <f>C118-O118</f>
        <v/>
      </c>
      <c r="T118" s="57">
        <f>E118-O118</f>
        <v/>
      </c>
      <c r="U118" s="57">
        <f>G118-O118</f>
        <v/>
      </c>
      <c r="V118" s="57">
        <f>G118-K118</f>
        <v/>
      </c>
      <c r="W118" s="57">
        <f>C118-K118</f>
        <v/>
      </c>
      <c r="X118" s="67">
        <f>I118-G118</f>
        <v/>
      </c>
      <c r="Y118" s="75">
        <f>G118-M118</f>
        <v/>
      </c>
    </row>
    <row r="119">
      <c r="A119" s="52" t="n">
        <v>44322</v>
      </c>
      <c r="B119" s="53" t="n">
        <v>36.54</v>
      </c>
      <c r="C119" s="54">
        <f>myParidad('Flujo de Fondos'!$B$5,A119,B119,'Flujo de Fondos'!$B$7,'Flujo de Fondos'!$B$6)</f>
        <v/>
      </c>
      <c r="D119" s="53" t="n">
        <v>39.2</v>
      </c>
      <c r="E119" s="55">
        <f>myParidad('Flujo de Fondos'!$H$5,$A119,D119,'Flujo de Fondos'!$H$7,'Flujo de Fondos'!$H$6)</f>
        <v/>
      </c>
      <c r="F119" s="53" t="n">
        <v>34.77</v>
      </c>
      <c r="G119" s="54">
        <f>myParidad('Flujo de Fondos'!$N$5,$A119,F119,'Flujo de Fondos'!$N$7,'Flujo de Fondos'!$N$6)</f>
        <v/>
      </c>
      <c r="H119" s="56" t="n">
        <v>36.53</v>
      </c>
      <c r="I119" s="54">
        <f>myParidad('Flujo de Fondos'!$T$5,$A119,H119,'Flujo de Fondos'!$T$7,'Flujo de Fondos'!$T$6)</f>
        <v/>
      </c>
      <c r="J119" s="56" t="n">
        <v>31.56</v>
      </c>
      <c r="K119" s="54">
        <f>myParidad('Flujo de Fondos'!$B$34,$A119,J119,'Flujo de Fondos'!$B$36,'Flujo de Fondos'!$B$35)</f>
        <v/>
      </c>
      <c r="L119" s="53" t="n">
        <v>33.52</v>
      </c>
      <c r="M119" s="54">
        <f>myParidad('Flujo de Fondos'!$H$34,'Paridad usd'!$A119,'Paridad usd'!L119,'Flujo de Fondos'!$H$36,'Flujo de Fondos'!$H$35)</f>
        <v/>
      </c>
      <c r="N119" s="56" t="n">
        <v>32.49</v>
      </c>
      <c r="O119" s="54">
        <f>myParidad('Flujo de Fondos'!$N$34,$A119,N119,'Flujo de Fondos'!$N$36,'Flujo de Fondos'!$N$35)</f>
        <v/>
      </c>
      <c r="P119" s="57">
        <f>C119-G119</f>
        <v/>
      </c>
      <c r="Q119" s="57">
        <f>E119-C119</f>
        <v/>
      </c>
      <c r="R119" s="57">
        <f>C119-M119</f>
        <v/>
      </c>
      <c r="S119" s="55">
        <f>C119-O119</f>
        <v/>
      </c>
      <c r="T119" s="57">
        <f>E119-O119</f>
        <v/>
      </c>
      <c r="U119" s="57">
        <f>G119-O119</f>
        <v/>
      </c>
      <c r="V119" s="57">
        <f>G119-K119</f>
        <v/>
      </c>
      <c r="W119" s="57">
        <f>C119-K119</f>
        <v/>
      </c>
      <c r="X119" s="67">
        <f>I119-G119</f>
        <v/>
      </c>
      <c r="Y119" s="75">
        <f>G119-M119</f>
        <v/>
      </c>
    </row>
    <row r="120">
      <c r="A120" s="52" t="n">
        <v>44321</v>
      </c>
      <c r="B120" s="53" t="n">
        <v>36.6</v>
      </c>
      <c r="C120" s="54">
        <f>myParidad('Flujo de Fondos'!$B$5,A120,B120,'Flujo de Fondos'!$B$7,'Flujo de Fondos'!$B$6)</f>
        <v/>
      </c>
      <c r="D120" s="53" t="n">
        <v>38.75</v>
      </c>
      <c r="E120" s="55">
        <f>myParidad('Flujo de Fondos'!$H$5,$A120,D120,'Flujo de Fondos'!$H$7,'Flujo de Fondos'!$H$6)</f>
        <v/>
      </c>
      <c r="F120" s="53" t="n">
        <v>35.04</v>
      </c>
      <c r="G120" s="54">
        <f>myParidad('Flujo de Fondos'!$N$5,$A120,F120,'Flujo de Fondos'!$N$7,'Flujo de Fondos'!$N$6)</f>
        <v/>
      </c>
      <c r="H120" s="56" t="n">
        <v>36.82</v>
      </c>
      <c r="I120" s="54">
        <f>myParidad('Flujo de Fondos'!$T$5,$A120,H120,'Flujo de Fondos'!$T$7,'Flujo de Fondos'!$T$6)</f>
        <v/>
      </c>
      <c r="J120" s="56" t="n">
        <v>31.8</v>
      </c>
      <c r="K120" s="54">
        <f>myParidad('Flujo de Fondos'!$B$34,$A120,J120,'Flujo de Fondos'!$B$36,'Flujo de Fondos'!$B$35)</f>
        <v/>
      </c>
      <c r="L120" s="53" t="n">
        <v>33.87</v>
      </c>
      <c r="M120" s="54">
        <f>myParidad('Flujo de Fondos'!$H$34,'Paridad usd'!$A120,'Paridad usd'!L120,'Flujo de Fondos'!$H$36,'Flujo de Fondos'!$H$35)</f>
        <v/>
      </c>
      <c r="N120" s="56" t="n">
        <v>32.8</v>
      </c>
      <c r="O120" s="54">
        <f>myParidad('Flujo de Fondos'!$N$34,$A120,N120,'Flujo de Fondos'!$N$36,'Flujo de Fondos'!$N$35)</f>
        <v/>
      </c>
      <c r="P120" s="57">
        <f>C120-G120</f>
        <v/>
      </c>
      <c r="Q120" s="57">
        <f>E120-C120</f>
        <v/>
      </c>
      <c r="R120" s="57">
        <f>C120-M120</f>
        <v/>
      </c>
      <c r="S120" s="55">
        <f>C120-O120</f>
        <v/>
      </c>
      <c r="T120" s="57">
        <f>E120-O120</f>
        <v/>
      </c>
      <c r="U120" s="57">
        <f>G120-O120</f>
        <v/>
      </c>
      <c r="V120" s="57">
        <f>G120-K120</f>
        <v/>
      </c>
      <c r="W120" s="57">
        <f>C120-K120</f>
        <v/>
      </c>
      <c r="X120" s="67">
        <f>I120-G120</f>
        <v/>
      </c>
      <c r="Y120" s="75">
        <f>G120-M120</f>
        <v/>
      </c>
    </row>
    <row r="121">
      <c r="A121" s="52" t="n">
        <v>44320</v>
      </c>
      <c r="B121" s="53" t="n">
        <v>36.75</v>
      </c>
      <c r="C121" s="54">
        <f>myParidad('Flujo de Fondos'!$B$5,A121,B121,'Flujo de Fondos'!$B$7,'Flujo de Fondos'!$B$6)</f>
        <v/>
      </c>
      <c r="D121" s="53" t="n">
        <v>36.61</v>
      </c>
      <c r="E121" s="55">
        <f>myParidad('Flujo de Fondos'!$H$5,$A121,D121,'Flujo de Fondos'!$H$7,'Flujo de Fondos'!$H$6)</f>
        <v/>
      </c>
      <c r="F121" s="53" t="n">
        <v>35.12</v>
      </c>
      <c r="G121" s="54">
        <f>myParidad('Flujo de Fondos'!$N$5,$A121,F121,'Flujo de Fondos'!$N$7,'Flujo de Fondos'!$N$6)</f>
        <v/>
      </c>
      <c r="H121" s="56" t="n">
        <v>37.05</v>
      </c>
      <c r="I121" s="54">
        <f>myParidad('Flujo de Fondos'!$T$5,$A121,H121,'Flujo de Fondos'!$T$7,'Flujo de Fondos'!$T$6)</f>
        <v/>
      </c>
      <c r="J121" s="56" t="n">
        <v>32.01</v>
      </c>
      <c r="K121" s="54">
        <f>myParidad('Flujo de Fondos'!$B$34,$A121,J121,'Flujo de Fondos'!$B$36,'Flujo de Fondos'!$B$35)</f>
        <v/>
      </c>
      <c r="L121" s="53" t="n">
        <v>33.65</v>
      </c>
      <c r="M121" s="54">
        <f>myParidad('Flujo de Fondos'!$H$34,'Paridad usd'!$A121,'Paridad usd'!L121,'Flujo de Fondos'!$H$36,'Flujo de Fondos'!$H$35)</f>
        <v/>
      </c>
      <c r="N121" s="56" t="n">
        <v>32.83</v>
      </c>
      <c r="O121" s="54">
        <f>myParidad('Flujo de Fondos'!$N$34,$A121,N121,'Flujo de Fondos'!$N$36,'Flujo de Fondos'!$N$35)</f>
        <v/>
      </c>
      <c r="P121" s="57">
        <f>C121-G121</f>
        <v/>
      </c>
      <c r="Q121" s="57">
        <f>E121-C121</f>
        <v/>
      </c>
      <c r="R121" s="57">
        <f>C121-M121</f>
        <v/>
      </c>
      <c r="S121" s="55">
        <f>C121-O121</f>
        <v/>
      </c>
      <c r="T121" s="57">
        <f>E121-O121</f>
        <v/>
      </c>
      <c r="U121" s="57">
        <f>G121-O121</f>
        <v/>
      </c>
      <c r="V121" s="57">
        <f>G121-K121</f>
        <v/>
      </c>
      <c r="W121" s="57">
        <f>C121-K121</f>
        <v/>
      </c>
      <c r="X121" s="67">
        <f>I121-G121</f>
        <v/>
      </c>
      <c r="Y121" s="75">
        <f>G121-M121</f>
        <v/>
      </c>
    </row>
    <row r="122">
      <c r="A122" s="52" t="n">
        <v>44319</v>
      </c>
      <c r="B122" s="53" t="n">
        <v>36.77</v>
      </c>
      <c r="C122" s="54">
        <f>myParidad('Flujo de Fondos'!$B$5,A122,B122,'Flujo de Fondos'!$B$7,'Flujo de Fondos'!$B$6)</f>
        <v/>
      </c>
      <c r="D122" s="53" t="n">
        <v>39.56</v>
      </c>
      <c r="E122" s="55">
        <f>myParidad('Flujo de Fondos'!$H$5,$A122,D122,'Flujo de Fondos'!$H$7,'Flujo de Fondos'!$H$6)</f>
        <v/>
      </c>
      <c r="F122" s="53" t="n">
        <v>35.18</v>
      </c>
      <c r="G122" s="54">
        <f>myParidad('Flujo de Fondos'!$N$5,$A122,F122,'Flujo de Fondos'!$N$7,'Flujo de Fondos'!$N$6)</f>
        <v/>
      </c>
      <c r="H122" s="56" t="n">
        <v>37.07</v>
      </c>
      <c r="I122" s="54">
        <f>myParidad('Flujo de Fondos'!$T$5,$A122,H122,'Flujo de Fondos'!$T$7,'Flujo de Fondos'!$T$6)</f>
        <v/>
      </c>
      <c r="J122" s="56" t="n">
        <v>32</v>
      </c>
      <c r="K122" s="54">
        <f>myParidad('Flujo de Fondos'!$B$34,$A122,J122,'Flujo de Fondos'!$B$36,'Flujo de Fondos'!$B$35)</f>
        <v/>
      </c>
      <c r="L122" s="53" t="n">
        <v>33.65</v>
      </c>
      <c r="M122" s="54">
        <f>myParidad('Flujo de Fondos'!$H$34,'Paridad usd'!$A122,'Paridad usd'!L122,'Flujo de Fondos'!$H$36,'Flujo de Fondos'!$H$35)</f>
        <v/>
      </c>
      <c r="N122" s="56" t="n">
        <v>32.55</v>
      </c>
      <c r="O122" s="54">
        <f>myParidad('Flujo de Fondos'!$N$34,$A122,N122,'Flujo de Fondos'!$N$36,'Flujo de Fondos'!$N$35)</f>
        <v/>
      </c>
      <c r="P122" s="57">
        <f>C122-G122</f>
        <v/>
      </c>
      <c r="Q122" s="57">
        <f>E122-C122</f>
        <v/>
      </c>
      <c r="R122" s="57">
        <f>C122-M122</f>
        <v/>
      </c>
      <c r="S122" s="55">
        <f>C122-O122</f>
        <v/>
      </c>
      <c r="T122" s="57">
        <f>E122-O122</f>
        <v/>
      </c>
      <c r="U122" s="57">
        <f>G122-O122</f>
        <v/>
      </c>
      <c r="V122" s="57">
        <f>G122-K122</f>
        <v/>
      </c>
      <c r="W122" s="57">
        <f>C122-K122</f>
        <v/>
      </c>
      <c r="X122" s="67">
        <f>I122-G122</f>
        <v/>
      </c>
      <c r="Y122" s="75">
        <f>G122-M122</f>
        <v/>
      </c>
    </row>
    <row r="123">
      <c r="A123" s="52" t="n">
        <v>44316</v>
      </c>
      <c r="B123" s="53" t="n">
        <v>36.85</v>
      </c>
      <c r="C123" s="54">
        <f>myParidad('Flujo de Fondos'!$B$5,A123,B123,'Flujo de Fondos'!$B$7,'Flujo de Fondos'!$B$6)</f>
        <v/>
      </c>
      <c r="D123" s="53" t="n">
        <v>39</v>
      </c>
      <c r="E123" s="55">
        <f>myParidad('Flujo de Fondos'!$H$5,$A123,D123,'Flujo de Fondos'!$H$7,'Flujo de Fondos'!$H$6)</f>
        <v/>
      </c>
      <c r="F123" s="53" t="n">
        <v>35.16</v>
      </c>
      <c r="G123" s="54">
        <f>myParidad('Flujo de Fondos'!$N$5,$A123,F123,'Flujo de Fondos'!$N$7,'Flujo de Fondos'!$N$6)</f>
        <v/>
      </c>
      <c r="H123" s="56" t="n">
        <v>37.21</v>
      </c>
      <c r="I123" s="54">
        <f>myParidad('Flujo de Fondos'!$T$5,$A123,H123,'Flujo de Fondos'!$T$7,'Flujo de Fondos'!$T$6)</f>
        <v/>
      </c>
      <c r="J123" s="56" t="n">
        <v>32</v>
      </c>
      <c r="K123" s="54">
        <f>myParidad('Flujo de Fondos'!$B$34,$A123,J123,'Flujo de Fondos'!$B$36,'Flujo de Fondos'!$B$35)</f>
        <v/>
      </c>
      <c r="L123" s="53" t="n">
        <v>34.06</v>
      </c>
      <c r="M123" s="54">
        <f>myParidad('Flujo de Fondos'!$H$34,'Paridad usd'!$A123,'Paridad usd'!L123,'Flujo de Fondos'!$H$36,'Flujo de Fondos'!$H$35)</f>
        <v/>
      </c>
      <c r="N123" s="56" t="n">
        <v>32.95</v>
      </c>
      <c r="O123" s="54">
        <f>myParidad('Flujo de Fondos'!$N$34,$A123,N123,'Flujo de Fondos'!$N$36,'Flujo de Fondos'!$N$35)</f>
        <v/>
      </c>
      <c r="P123" s="57">
        <f>C123-G123</f>
        <v/>
      </c>
      <c r="Q123" s="57">
        <f>E123-C123</f>
        <v/>
      </c>
      <c r="R123" s="57">
        <f>C123-M123</f>
        <v/>
      </c>
      <c r="S123" s="55">
        <f>C123-O123</f>
        <v/>
      </c>
      <c r="T123" s="57">
        <f>E123-O123</f>
        <v/>
      </c>
      <c r="U123" s="57">
        <f>G123-O123</f>
        <v/>
      </c>
      <c r="V123" s="57">
        <f>G123-K123</f>
        <v/>
      </c>
      <c r="W123" s="57">
        <f>C123-K123</f>
        <v/>
      </c>
      <c r="X123" s="67">
        <f>I123-G123</f>
        <v/>
      </c>
      <c r="Y123" s="75">
        <f>G123-M123</f>
        <v/>
      </c>
    </row>
    <row r="124">
      <c r="A124" s="52" t="n">
        <v>44315</v>
      </c>
      <c r="B124" s="53" t="n">
        <v>36.8</v>
      </c>
      <c r="C124" s="54">
        <f>myParidad('Flujo de Fondos'!$B$5,A124,B124,'Flujo de Fondos'!$B$7,'Flujo de Fondos'!$B$6)</f>
        <v/>
      </c>
      <c r="D124" s="53" t="n">
        <v>39.7</v>
      </c>
      <c r="E124" s="55">
        <f>myParidad('Flujo de Fondos'!$H$5,$A124,D124,'Flujo de Fondos'!$H$7,'Flujo de Fondos'!$H$6)</f>
        <v/>
      </c>
      <c r="F124" s="53" t="n">
        <v>35.23</v>
      </c>
      <c r="G124" s="54">
        <f>myParidad('Flujo de Fondos'!$N$5,$A124,F124,'Flujo de Fondos'!$N$7,'Flujo de Fondos'!$N$6)</f>
        <v/>
      </c>
      <c r="H124" s="56" t="n">
        <v>36.75</v>
      </c>
      <c r="I124" s="54">
        <f>myParidad('Flujo de Fondos'!$T$5,$A124,H124,'Flujo de Fondos'!$T$7,'Flujo de Fondos'!$T$6)</f>
        <v/>
      </c>
      <c r="J124" s="56" t="n">
        <v>31.75</v>
      </c>
      <c r="K124" s="54">
        <f>myParidad('Flujo de Fondos'!$B$34,$A124,J124,'Flujo de Fondos'!$B$36,'Flujo de Fondos'!$B$35)</f>
        <v/>
      </c>
      <c r="L124" s="53" t="n">
        <v>33.9</v>
      </c>
      <c r="M124" s="54">
        <f>myParidad('Flujo de Fondos'!$H$34,'Paridad usd'!$A124,'Paridad usd'!L124,'Flujo de Fondos'!$H$36,'Flujo de Fondos'!$H$35)</f>
        <v/>
      </c>
      <c r="N124" s="56" t="n">
        <v>32.75</v>
      </c>
      <c r="O124" s="54">
        <f>myParidad('Flujo de Fondos'!$N$34,$A124,N124,'Flujo de Fondos'!$N$36,'Flujo de Fondos'!$N$35)</f>
        <v/>
      </c>
      <c r="P124" s="57">
        <f>C124-G124</f>
        <v/>
      </c>
      <c r="Q124" s="57">
        <f>E124-C124</f>
        <v/>
      </c>
      <c r="R124" s="57">
        <f>C124-M124</f>
        <v/>
      </c>
      <c r="S124" s="55">
        <f>C124-O124</f>
        <v/>
      </c>
      <c r="T124" s="57">
        <f>E124-O124</f>
        <v/>
      </c>
      <c r="U124" s="57">
        <f>G124-O124</f>
        <v/>
      </c>
      <c r="V124" s="57">
        <f>G124-K124</f>
        <v/>
      </c>
      <c r="W124" s="57">
        <f>C124-K124</f>
        <v/>
      </c>
      <c r="X124" s="67">
        <f>I124-G124</f>
        <v/>
      </c>
      <c r="Y124" s="75">
        <f>G124-M124</f>
        <v/>
      </c>
    </row>
    <row r="125">
      <c r="A125" s="52" t="n">
        <v>44314</v>
      </c>
      <c r="B125" s="53" t="n">
        <v>37.25</v>
      </c>
      <c r="C125" s="54">
        <f>myParidad('Flujo de Fondos'!$B$5,A125,B125,'Flujo de Fondos'!$B$7,'Flujo de Fondos'!$B$6)</f>
        <v/>
      </c>
      <c r="D125" s="53" t="n">
        <v>39.25</v>
      </c>
      <c r="E125" s="55">
        <f>myParidad('Flujo de Fondos'!$H$5,$A125,D125,'Flujo de Fondos'!$H$7,'Flujo de Fondos'!$H$6)</f>
        <v/>
      </c>
      <c r="F125" s="53" t="n">
        <v>35.35</v>
      </c>
      <c r="G125" s="54">
        <f>myParidad('Flujo de Fondos'!$N$5,$A125,F125,'Flujo de Fondos'!$N$7,'Flujo de Fondos'!$N$6)</f>
        <v/>
      </c>
      <c r="H125" s="56" t="n">
        <v>36.96</v>
      </c>
      <c r="I125" s="54">
        <f>myParidad('Flujo de Fondos'!$T$5,$A125,H125,'Flujo de Fondos'!$T$7,'Flujo de Fondos'!$T$6)</f>
        <v/>
      </c>
      <c r="J125" s="56" t="n">
        <v>32.2</v>
      </c>
      <c r="K125" s="54">
        <f>myParidad('Flujo de Fondos'!$B$34,$A125,J125,'Flujo de Fondos'!$B$36,'Flujo de Fondos'!$B$35)</f>
        <v/>
      </c>
      <c r="L125" s="53" t="n">
        <v>34.3</v>
      </c>
      <c r="M125" s="54">
        <f>myParidad('Flujo de Fondos'!$H$34,'Paridad usd'!$A125,'Paridad usd'!L125,'Flujo de Fondos'!$H$36,'Flujo de Fondos'!$H$35)</f>
        <v/>
      </c>
      <c r="N125" s="56" t="n">
        <v>33.15</v>
      </c>
      <c r="O125" s="54">
        <f>myParidad('Flujo de Fondos'!$N$34,$A125,N125,'Flujo de Fondos'!$N$36,'Flujo de Fondos'!$N$35)</f>
        <v/>
      </c>
      <c r="P125" s="57">
        <f>C125-G125</f>
        <v/>
      </c>
      <c r="Q125" s="57">
        <f>E125-C125</f>
        <v/>
      </c>
      <c r="R125" s="57">
        <f>C125-M125</f>
        <v/>
      </c>
      <c r="S125" s="55">
        <f>C125-O125</f>
        <v/>
      </c>
      <c r="T125" s="57">
        <f>E125-O125</f>
        <v/>
      </c>
      <c r="U125" s="57">
        <f>G125-O125</f>
        <v/>
      </c>
      <c r="V125" s="57">
        <f>G125-K125</f>
        <v/>
      </c>
      <c r="W125" s="57">
        <f>C125-K125</f>
        <v/>
      </c>
      <c r="X125" s="67">
        <f>I125-G125</f>
        <v/>
      </c>
      <c r="Y125" s="75">
        <f>G125-M125</f>
        <v/>
      </c>
    </row>
    <row r="126">
      <c r="A126" s="52" t="n">
        <v>44313</v>
      </c>
      <c r="B126" s="53" t="n">
        <v>36.98</v>
      </c>
      <c r="C126" s="54">
        <f>myParidad('Flujo de Fondos'!$B$5,A126,B126,'Flujo de Fondos'!$B$7,'Flujo de Fondos'!$B$6)</f>
        <v/>
      </c>
      <c r="D126" s="53" t="n">
        <v>39.4</v>
      </c>
      <c r="E126" s="55">
        <f>myParidad('Flujo de Fondos'!$H$5,$A126,D126,'Flujo de Fondos'!$H$7,'Flujo de Fondos'!$H$6)</f>
        <v/>
      </c>
      <c r="F126" s="53" t="n">
        <v>35.25</v>
      </c>
      <c r="G126" s="54">
        <f>myParidad('Flujo de Fondos'!$N$5,$A126,F126,'Flujo de Fondos'!$N$7,'Flujo de Fondos'!$N$6)</f>
        <v/>
      </c>
      <c r="H126" s="56" t="n">
        <v>37.14</v>
      </c>
      <c r="I126" s="54">
        <f>myParidad('Flujo de Fondos'!$T$5,$A126,H126,'Flujo de Fondos'!$T$7,'Flujo de Fondos'!$T$6)</f>
        <v/>
      </c>
      <c r="J126" s="56" t="n">
        <v>32.05</v>
      </c>
      <c r="K126" s="54">
        <f>myParidad('Flujo de Fondos'!$B$34,$A126,J126,'Flujo de Fondos'!$B$36,'Flujo de Fondos'!$B$35)</f>
        <v/>
      </c>
      <c r="L126" s="53" t="n">
        <v>33.9</v>
      </c>
      <c r="M126" s="54">
        <f>myParidad('Flujo de Fondos'!$H$34,'Paridad usd'!$A126,'Paridad usd'!L126,'Flujo de Fondos'!$H$36,'Flujo de Fondos'!$H$35)</f>
        <v/>
      </c>
      <c r="N126" s="56" t="n">
        <v>32.95</v>
      </c>
      <c r="O126" s="54">
        <f>myParidad('Flujo de Fondos'!$N$34,$A126,N126,'Flujo de Fondos'!$N$36,'Flujo de Fondos'!$N$35)</f>
        <v/>
      </c>
      <c r="P126" s="57">
        <f>C126-G126</f>
        <v/>
      </c>
      <c r="Q126" s="57">
        <f>E126-C126</f>
        <v/>
      </c>
      <c r="R126" s="57">
        <f>C126-M126</f>
        <v/>
      </c>
      <c r="S126" s="55">
        <f>C126-O126</f>
        <v/>
      </c>
      <c r="T126" s="57">
        <f>E126-O126</f>
        <v/>
      </c>
      <c r="U126" s="57">
        <f>G126-O126</f>
        <v/>
      </c>
      <c r="V126" s="57">
        <f>G126-K126</f>
        <v/>
      </c>
      <c r="W126" s="57">
        <f>C126-K126</f>
        <v/>
      </c>
      <c r="X126" s="67">
        <f>I126-G126</f>
        <v/>
      </c>
      <c r="Y126" s="75">
        <f>G126-M126</f>
        <v/>
      </c>
    </row>
    <row r="127">
      <c r="A127" s="52" t="n">
        <v>44312</v>
      </c>
      <c r="B127" s="53" t="n">
        <v>36.84</v>
      </c>
      <c r="C127" s="54">
        <f>myParidad('Flujo de Fondos'!$B$5,A127,B127,'Flujo de Fondos'!$B$7,'Flujo de Fondos'!$B$6)</f>
        <v/>
      </c>
      <c r="D127" s="53" t="n">
        <v>39.5</v>
      </c>
      <c r="E127" s="55">
        <f>myParidad('Flujo de Fondos'!$H$5,$A127,D127,'Flujo de Fondos'!$H$7,'Flujo de Fondos'!$H$6)</f>
        <v/>
      </c>
      <c r="F127" s="53" t="n">
        <v>34.87</v>
      </c>
      <c r="G127" s="54">
        <f>myParidad('Flujo de Fondos'!$N$5,$A127,F127,'Flujo de Fondos'!$N$7,'Flujo de Fondos'!$N$6)</f>
        <v/>
      </c>
      <c r="H127" s="56" t="n">
        <v>36.85</v>
      </c>
      <c r="I127" s="54">
        <f>myParidad('Flujo de Fondos'!$T$5,$A127,H127,'Flujo de Fondos'!$T$7,'Flujo de Fondos'!$T$6)</f>
        <v/>
      </c>
      <c r="J127" s="56" t="n">
        <v>31.5</v>
      </c>
      <c r="K127" s="54">
        <f>myParidad('Flujo de Fondos'!$B$34,$A127,J127,'Flujo de Fondos'!$B$36,'Flujo de Fondos'!$B$35)</f>
        <v/>
      </c>
      <c r="L127" s="53" t="n">
        <v>33.75</v>
      </c>
      <c r="M127" s="54">
        <f>myParidad('Flujo de Fondos'!$H$34,'Paridad usd'!$A127,'Paridad usd'!L127,'Flujo de Fondos'!$H$36,'Flujo de Fondos'!$H$35)</f>
        <v/>
      </c>
      <c r="N127" s="56" t="n">
        <v>32.8</v>
      </c>
      <c r="O127" s="54">
        <f>myParidad('Flujo de Fondos'!$N$34,$A127,N127,'Flujo de Fondos'!$N$36,'Flujo de Fondos'!$N$35)</f>
        <v/>
      </c>
      <c r="P127" s="57">
        <f>C127-G127</f>
        <v/>
      </c>
      <c r="Q127" s="57">
        <f>E127-C127</f>
        <v/>
      </c>
      <c r="R127" s="57">
        <f>C127-M127</f>
        <v/>
      </c>
      <c r="S127" s="55">
        <f>C127-O127</f>
        <v/>
      </c>
      <c r="T127" s="57">
        <f>E127-O127</f>
        <v/>
      </c>
      <c r="U127" s="57">
        <f>G127-O127</f>
        <v/>
      </c>
      <c r="V127" s="57">
        <f>G127-K127</f>
        <v/>
      </c>
      <c r="W127" s="57">
        <f>C127-K127</f>
        <v/>
      </c>
      <c r="X127" s="67">
        <f>I127-G127</f>
        <v/>
      </c>
      <c r="Y127" s="75">
        <f>G127-M127</f>
        <v/>
      </c>
    </row>
    <row r="128">
      <c r="A128" s="52" t="n">
        <v>44309</v>
      </c>
      <c r="B128" s="53" t="n">
        <v>36.55</v>
      </c>
      <c r="C128" s="54">
        <f>myParidad('Flujo de Fondos'!$B$5,A128,B128,'Flujo de Fondos'!$B$7,'Flujo de Fondos'!$B$6)</f>
        <v/>
      </c>
      <c r="D128" s="53" t="n">
        <v>39.75</v>
      </c>
      <c r="E128" s="55">
        <f>myParidad('Flujo de Fondos'!$H$5,$A128,D128,'Flujo de Fondos'!$H$7,'Flujo de Fondos'!$H$6)</f>
        <v/>
      </c>
      <c r="F128" s="53" t="n">
        <v>34.22</v>
      </c>
      <c r="G128" s="54">
        <f>myParidad('Flujo de Fondos'!$N$5,$A128,F128,'Flujo de Fondos'!$N$7,'Flujo de Fondos'!$N$6)</f>
        <v/>
      </c>
      <c r="H128" s="56" t="n">
        <v>36.66</v>
      </c>
      <c r="I128" s="54">
        <f>myParidad('Flujo de Fondos'!$T$5,$A128,H128,'Flujo de Fondos'!$T$7,'Flujo de Fondos'!$T$6)</f>
        <v/>
      </c>
      <c r="J128" s="56" t="n">
        <v>31.5</v>
      </c>
      <c r="K128" s="54">
        <f>myParidad('Flujo de Fondos'!$B$34,$A128,J128,'Flujo de Fondos'!$B$36,'Flujo de Fondos'!$B$35)</f>
        <v/>
      </c>
      <c r="L128" s="53" t="n">
        <v>33.87</v>
      </c>
      <c r="M128" s="54">
        <f>myParidad('Flujo de Fondos'!$H$34,'Paridad usd'!$A128,'Paridad usd'!L128,'Flujo de Fondos'!$H$36,'Flujo de Fondos'!$H$35)</f>
        <v/>
      </c>
      <c r="N128" s="56" t="n">
        <v>32.8</v>
      </c>
      <c r="O128" s="54">
        <f>myParidad('Flujo de Fondos'!$N$34,$A128,N128,'Flujo de Fondos'!$N$36,'Flujo de Fondos'!$N$35)</f>
        <v/>
      </c>
      <c r="P128" s="57">
        <f>C128-G128</f>
        <v/>
      </c>
      <c r="Q128" s="57">
        <f>E128-C128</f>
        <v/>
      </c>
      <c r="R128" s="57">
        <f>C128-M128</f>
        <v/>
      </c>
      <c r="S128" s="55">
        <f>C128-O128</f>
        <v/>
      </c>
      <c r="T128" s="57">
        <f>E128-O128</f>
        <v/>
      </c>
      <c r="U128" s="57">
        <f>G128-O128</f>
        <v/>
      </c>
      <c r="V128" s="57">
        <f>G128-K128</f>
        <v/>
      </c>
      <c r="W128" s="57">
        <f>C128-K128</f>
        <v/>
      </c>
      <c r="X128" s="67">
        <f>I128-G128</f>
        <v/>
      </c>
      <c r="Y128" s="75">
        <f>G128-M128</f>
        <v/>
      </c>
    </row>
    <row r="129">
      <c r="A129" s="52" t="n">
        <v>44308</v>
      </c>
      <c r="B129" s="53" t="n">
        <v>36.6</v>
      </c>
      <c r="C129" s="54">
        <f>myParidad('Flujo de Fondos'!$B$5,A129,B129,'Flujo de Fondos'!$B$7,'Flujo de Fondos'!$B$6)</f>
        <v/>
      </c>
      <c r="D129" s="53" t="n">
        <v>39.8</v>
      </c>
      <c r="E129" s="55">
        <f>myParidad('Flujo de Fondos'!$H$5,$A129,D129,'Flujo de Fondos'!$H$7,'Flujo de Fondos'!$H$6)</f>
        <v/>
      </c>
      <c r="F129" s="53" t="n">
        <v>34.37</v>
      </c>
      <c r="G129" s="54">
        <f>myParidad('Flujo de Fondos'!$N$5,$A129,F129,'Flujo de Fondos'!$N$7,'Flujo de Fondos'!$N$6)</f>
        <v/>
      </c>
      <c r="H129" s="56" t="n">
        <v>36.7</v>
      </c>
      <c r="I129" s="54">
        <f>myParidad('Flujo de Fondos'!$T$5,$A129,H129,'Flujo de Fondos'!$T$7,'Flujo de Fondos'!$T$6)</f>
        <v/>
      </c>
      <c r="J129" s="56" t="n">
        <v>31.16</v>
      </c>
      <c r="K129" s="54">
        <f>myParidad('Flujo de Fondos'!$B$34,$A129,J129,'Flujo de Fondos'!$B$36,'Flujo de Fondos'!$B$35)</f>
        <v/>
      </c>
      <c r="L129" s="53" t="n">
        <v>34.2</v>
      </c>
      <c r="M129" s="54">
        <f>myParidad('Flujo de Fondos'!$H$34,'Paridad usd'!$A129,'Paridad usd'!L129,'Flujo de Fondos'!$H$36,'Flujo de Fondos'!$H$35)</f>
        <v/>
      </c>
      <c r="N129" s="56" t="n">
        <v>33.45</v>
      </c>
      <c r="O129" s="54">
        <f>myParidad('Flujo de Fondos'!$N$34,$A129,N129,'Flujo de Fondos'!$N$36,'Flujo de Fondos'!$N$35)</f>
        <v/>
      </c>
      <c r="P129" s="57">
        <f>C129-G129</f>
        <v/>
      </c>
      <c r="Q129" s="57">
        <f>E129-C129</f>
        <v/>
      </c>
      <c r="R129" s="57">
        <f>C129-M129</f>
        <v/>
      </c>
      <c r="S129" s="55">
        <f>C129-O129</f>
        <v/>
      </c>
      <c r="T129" s="57">
        <f>E129-O129</f>
        <v/>
      </c>
      <c r="U129" s="57">
        <f>G129-O129</f>
        <v/>
      </c>
      <c r="V129" s="57">
        <f>G129-K129</f>
        <v/>
      </c>
      <c r="W129" s="57">
        <f>C129-K129</f>
        <v/>
      </c>
      <c r="X129" s="67">
        <f>I129-G129</f>
        <v/>
      </c>
      <c r="Y129" s="75">
        <f>G129-M129</f>
        <v/>
      </c>
    </row>
    <row r="130">
      <c r="A130" s="52" t="n">
        <v>44307</v>
      </c>
      <c r="B130" s="53" t="n">
        <v>36.4</v>
      </c>
      <c r="C130" s="54">
        <f>myParidad('Flujo de Fondos'!$B$5,A130,B130,'Flujo de Fondos'!$B$7,'Flujo de Fondos'!$B$6)</f>
        <v/>
      </c>
      <c r="D130" s="53" t="n">
        <v>39</v>
      </c>
      <c r="E130" s="55">
        <f>myParidad('Flujo de Fondos'!$H$5,$A130,D130,'Flujo de Fondos'!$H$7,'Flujo de Fondos'!$H$6)</f>
        <v/>
      </c>
      <c r="F130" s="53" t="n">
        <v>34.35</v>
      </c>
      <c r="G130" s="54">
        <f>myParidad('Flujo de Fondos'!$N$5,$A130,F130,'Flujo de Fondos'!$N$7,'Flujo de Fondos'!$N$6)</f>
        <v/>
      </c>
      <c r="H130" s="56" t="n">
        <v>36.63</v>
      </c>
      <c r="I130" s="54">
        <f>myParidad('Flujo de Fondos'!$T$5,$A130,H130,'Flujo de Fondos'!$T$7,'Flujo de Fondos'!$T$6)</f>
        <v/>
      </c>
      <c r="J130" s="56" t="n">
        <v>30.95</v>
      </c>
      <c r="K130" s="54">
        <f>myParidad('Flujo de Fondos'!$B$34,$A130,J130,'Flujo de Fondos'!$B$36,'Flujo de Fondos'!$B$35)</f>
        <v/>
      </c>
      <c r="L130" s="53" t="n">
        <v>33.8</v>
      </c>
      <c r="M130" s="54">
        <f>myParidad('Flujo de Fondos'!$H$34,'Paridad usd'!$A130,'Paridad usd'!L130,'Flujo de Fondos'!$H$36,'Flujo de Fondos'!$H$35)</f>
        <v/>
      </c>
      <c r="N130" s="56" t="n">
        <v>33</v>
      </c>
      <c r="O130" s="54">
        <f>myParidad('Flujo de Fondos'!$N$34,$A130,N130,'Flujo de Fondos'!$N$36,'Flujo de Fondos'!$N$35)</f>
        <v/>
      </c>
      <c r="P130" s="57">
        <f>C130-G130</f>
        <v/>
      </c>
      <c r="Q130" s="57">
        <f>E130-C130</f>
        <v/>
      </c>
      <c r="R130" s="57">
        <f>C130-M130</f>
        <v/>
      </c>
      <c r="S130" s="55">
        <f>C130-O130</f>
        <v/>
      </c>
      <c r="T130" s="57">
        <f>E130-O130</f>
        <v/>
      </c>
      <c r="U130" s="57">
        <f>G130-O130</f>
        <v/>
      </c>
      <c r="V130" s="57">
        <f>G130-K130</f>
        <v/>
      </c>
      <c r="W130" s="57">
        <f>C130-K130</f>
        <v/>
      </c>
      <c r="X130" s="67">
        <f>I130-G130</f>
        <v/>
      </c>
      <c r="Y130" s="75">
        <f>G130-M130</f>
        <v/>
      </c>
    </row>
    <row r="131">
      <c r="A131" s="52" t="n">
        <v>44306</v>
      </c>
      <c r="B131" s="53" t="n">
        <v>36.15</v>
      </c>
      <c r="C131" s="54">
        <f>myParidad('Flujo de Fondos'!$B$5,A131,B131,'Flujo de Fondos'!$B$7,'Flujo de Fondos'!$B$6)</f>
        <v/>
      </c>
      <c r="D131" s="53" t="n">
        <v>39.35</v>
      </c>
      <c r="E131" s="55">
        <f>myParidad('Flujo de Fondos'!$H$5,$A131,D131,'Flujo de Fondos'!$H$7,'Flujo de Fondos'!$H$6)</f>
        <v/>
      </c>
      <c r="F131" s="53" t="n">
        <v>34.26</v>
      </c>
      <c r="G131" s="54">
        <f>myParidad('Flujo de Fondos'!$N$5,$A131,F131,'Flujo de Fondos'!$N$7,'Flujo de Fondos'!$N$6)</f>
        <v/>
      </c>
      <c r="H131" s="56" t="n">
        <v>36.2</v>
      </c>
      <c r="I131" s="54">
        <f>myParidad('Flujo de Fondos'!$T$5,$A131,H131,'Flujo de Fondos'!$T$7,'Flujo de Fondos'!$T$6)</f>
        <v/>
      </c>
      <c r="J131" s="56" t="n">
        <v>30.86</v>
      </c>
      <c r="K131" s="54">
        <f>myParidad('Flujo de Fondos'!$B$34,$A131,J131,'Flujo de Fondos'!$B$36,'Flujo de Fondos'!$B$35)</f>
        <v/>
      </c>
      <c r="L131" s="53" t="n">
        <v>33.65</v>
      </c>
      <c r="M131" s="54">
        <f>myParidad('Flujo de Fondos'!$H$34,'Paridad usd'!$A131,'Paridad usd'!L131,'Flujo de Fondos'!$H$36,'Flujo de Fondos'!$H$35)</f>
        <v/>
      </c>
      <c r="N131" s="56" t="n">
        <v>33</v>
      </c>
      <c r="O131" s="54">
        <f>myParidad('Flujo de Fondos'!$N$34,$A131,N131,'Flujo de Fondos'!$N$36,'Flujo de Fondos'!$N$35)</f>
        <v/>
      </c>
      <c r="P131" s="57">
        <f>C131-G131</f>
        <v/>
      </c>
      <c r="Q131" s="57">
        <f>E131-C131</f>
        <v/>
      </c>
      <c r="R131" s="57">
        <f>C131-M131</f>
        <v/>
      </c>
      <c r="S131" s="55">
        <f>C131-O131</f>
        <v/>
      </c>
      <c r="T131" s="57">
        <f>E131-O131</f>
        <v/>
      </c>
      <c r="U131" s="57">
        <f>G131-O131</f>
        <v/>
      </c>
      <c r="V131" s="57">
        <f>G131-K131</f>
        <v/>
      </c>
      <c r="W131" s="57">
        <f>C131-K131</f>
        <v/>
      </c>
      <c r="X131" s="67">
        <f>I131-G131</f>
        <v/>
      </c>
      <c r="Y131" s="75">
        <f>G131-M131</f>
        <v/>
      </c>
    </row>
    <row r="132">
      <c r="A132" s="52" t="n">
        <v>44305</v>
      </c>
      <c r="B132" s="53" t="n">
        <v>36.2</v>
      </c>
      <c r="C132" s="54">
        <f>myParidad('Flujo de Fondos'!$B$5,A132,B132,'Flujo de Fondos'!$B$7,'Flujo de Fondos'!$B$6)</f>
        <v/>
      </c>
      <c r="D132" s="53" t="n">
        <v>39.31</v>
      </c>
      <c r="E132" s="55">
        <f>myParidad('Flujo de Fondos'!$H$5,$A132,D132,'Flujo de Fondos'!$H$7,'Flujo de Fondos'!$H$6)</f>
        <v/>
      </c>
      <c r="F132" s="53" t="n">
        <v>34.37</v>
      </c>
      <c r="G132" s="54">
        <f>myParidad('Flujo de Fondos'!$N$5,$A132,F132,'Flujo de Fondos'!$N$7,'Flujo de Fondos'!$N$6)</f>
        <v/>
      </c>
      <c r="H132" s="56" t="n">
        <v>36.49</v>
      </c>
      <c r="I132" s="54">
        <f>myParidad('Flujo de Fondos'!$T$5,$A132,H132,'Flujo de Fondos'!$T$7,'Flujo de Fondos'!$T$6)</f>
        <v/>
      </c>
      <c r="J132" s="56" t="n">
        <v>30.8</v>
      </c>
      <c r="K132" s="54">
        <f>myParidad('Flujo de Fondos'!$B$34,$A132,J132,'Flujo de Fondos'!$B$36,'Flujo de Fondos'!$B$35)</f>
        <v/>
      </c>
      <c r="L132" s="53" t="n">
        <v>33.5</v>
      </c>
      <c r="M132" s="54">
        <f>myParidad('Flujo de Fondos'!$H$34,'Paridad usd'!$A132,'Paridad usd'!L132,'Flujo de Fondos'!$H$36,'Flujo de Fondos'!$H$35)</f>
        <v/>
      </c>
      <c r="N132" s="56" t="n">
        <v>33.15</v>
      </c>
      <c r="O132" s="54">
        <f>myParidad('Flujo de Fondos'!$N$34,$A132,N132,'Flujo de Fondos'!$N$36,'Flujo de Fondos'!$N$35)</f>
        <v/>
      </c>
      <c r="P132" s="57">
        <f>C132-G132</f>
        <v/>
      </c>
      <c r="Q132" s="57">
        <f>E132-C132</f>
        <v/>
      </c>
      <c r="R132" s="57">
        <f>C132-M132</f>
        <v/>
      </c>
      <c r="S132" s="55">
        <f>C132-O132</f>
        <v/>
      </c>
      <c r="T132" s="57">
        <f>E132-O132</f>
        <v/>
      </c>
      <c r="U132" s="57">
        <f>G132-O132</f>
        <v/>
      </c>
      <c r="V132" s="57">
        <f>G132-K132</f>
        <v/>
      </c>
      <c r="W132" s="57">
        <f>C132-K132</f>
        <v/>
      </c>
      <c r="X132" s="67">
        <f>I132-G132</f>
        <v/>
      </c>
      <c r="Y132" s="75">
        <f>G132-M132</f>
        <v/>
      </c>
    </row>
    <row r="133">
      <c r="A133" s="52" t="n">
        <v>44302</v>
      </c>
      <c r="B133" s="53" t="n">
        <v>36.2</v>
      </c>
      <c r="C133" s="54">
        <f>myParidad('Flujo de Fondos'!$B$5,A133,B133,'Flujo de Fondos'!$B$7,'Flujo de Fondos'!$B$6)</f>
        <v/>
      </c>
      <c r="D133" s="53" t="n">
        <v>38.91</v>
      </c>
      <c r="E133" s="55">
        <f>myParidad('Flujo de Fondos'!$H$5,$A133,D133,'Flujo de Fondos'!$H$7,'Flujo de Fondos'!$H$6)</f>
        <v/>
      </c>
      <c r="F133" s="53" t="n">
        <v>34.2</v>
      </c>
      <c r="G133" s="54">
        <f>myParidad('Flujo de Fondos'!$N$5,$A133,F133,'Flujo de Fondos'!$N$7,'Flujo de Fondos'!$N$6)</f>
        <v/>
      </c>
      <c r="H133" s="56" t="n">
        <v>36.4</v>
      </c>
      <c r="I133" s="54">
        <f>myParidad('Flujo de Fondos'!$T$5,$A133,H133,'Flujo de Fondos'!$T$7,'Flujo de Fondos'!$T$6)</f>
        <v/>
      </c>
      <c r="J133" s="56" t="n">
        <v>31</v>
      </c>
      <c r="K133" s="54">
        <f>myParidad('Flujo de Fondos'!$B$34,$A133,J133,'Flujo de Fondos'!$B$36,'Flujo de Fondos'!$B$35)</f>
        <v/>
      </c>
      <c r="L133" s="53" t="n">
        <v>33.6</v>
      </c>
      <c r="M133" s="54">
        <f>myParidad('Flujo de Fondos'!$H$34,'Paridad usd'!$A133,'Paridad usd'!L133,'Flujo de Fondos'!$H$36,'Flujo de Fondos'!$H$35)</f>
        <v/>
      </c>
      <c r="N133" s="56" t="n">
        <v>33.15</v>
      </c>
      <c r="O133" s="54">
        <f>myParidad('Flujo de Fondos'!$N$34,$A133,N133,'Flujo de Fondos'!$N$36,'Flujo de Fondos'!$N$35)</f>
        <v/>
      </c>
      <c r="P133" s="57">
        <f>C133-G133</f>
        <v/>
      </c>
      <c r="Q133" s="57">
        <f>E133-C133</f>
        <v/>
      </c>
      <c r="R133" s="57">
        <f>C133-M133</f>
        <v/>
      </c>
      <c r="S133" s="55">
        <f>C133-O133</f>
        <v/>
      </c>
      <c r="T133" s="57">
        <f>E133-O133</f>
        <v/>
      </c>
      <c r="U133" s="57">
        <f>G133-O133</f>
        <v/>
      </c>
      <c r="V133" s="57">
        <f>G133-K133</f>
        <v/>
      </c>
      <c r="W133" s="57">
        <f>C133-K133</f>
        <v/>
      </c>
      <c r="X133" s="67">
        <f>I133-G133</f>
        <v/>
      </c>
      <c r="Y133" s="75">
        <f>G133-M133</f>
        <v/>
      </c>
    </row>
    <row r="134">
      <c r="A134" s="52" t="n">
        <v>44301</v>
      </c>
      <c r="B134" s="53" t="n">
        <v>36.1</v>
      </c>
      <c r="C134" s="54">
        <f>myParidad('Flujo de Fondos'!$B$5,A134,B134,'Flujo de Fondos'!$B$7,'Flujo de Fondos'!$B$6)</f>
        <v/>
      </c>
      <c r="D134" s="53" t="n">
        <v>39</v>
      </c>
      <c r="E134" s="55">
        <f>myParidad('Flujo de Fondos'!$H$5,$A134,D134,'Flujo de Fondos'!$H$7,'Flujo de Fondos'!$H$6)</f>
        <v/>
      </c>
      <c r="F134" s="53" t="n">
        <v>34.25</v>
      </c>
      <c r="G134" s="54">
        <f>myParidad('Flujo de Fondos'!$N$5,$A134,F134,'Flujo de Fondos'!$N$7,'Flujo de Fondos'!$N$6)</f>
        <v/>
      </c>
      <c r="H134" s="56" t="n">
        <v>35.98</v>
      </c>
      <c r="I134" s="54">
        <f>myParidad('Flujo de Fondos'!$T$5,$A134,H134,'Flujo de Fondos'!$T$7,'Flujo de Fondos'!$T$6)</f>
        <v/>
      </c>
      <c r="J134" s="56" t="n">
        <v>30.78</v>
      </c>
      <c r="K134" s="54">
        <f>myParidad('Flujo de Fondos'!$B$34,$A134,J134,'Flujo de Fondos'!$B$36,'Flujo de Fondos'!$B$35)</f>
        <v/>
      </c>
      <c r="L134" s="53" t="n">
        <v>33.5</v>
      </c>
      <c r="M134" s="54">
        <f>myParidad('Flujo de Fondos'!$H$34,'Paridad usd'!$A134,'Paridad usd'!L134,'Flujo de Fondos'!$H$36,'Flujo de Fondos'!$H$35)</f>
        <v/>
      </c>
      <c r="N134" s="56" t="n">
        <v>33.1</v>
      </c>
      <c r="O134" s="54">
        <f>myParidad('Flujo de Fondos'!$N$34,$A134,N134,'Flujo de Fondos'!$N$36,'Flujo de Fondos'!$N$35)</f>
        <v/>
      </c>
      <c r="P134" s="57">
        <f>C134-G134</f>
        <v/>
      </c>
      <c r="Q134" s="57">
        <f>E134-C134</f>
        <v/>
      </c>
      <c r="R134" s="57">
        <f>C134-M134</f>
        <v/>
      </c>
      <c r="S134" s="55">
        <f>C134-O134</f>
        <v/>
      </c>
      <c r="T134" s="57">
        <f>E134-O134</f>
        <v/>
      </c>
      <c r="U134" s="57">
        <f>G134-O134</f>
        <v/>
      </c>
      <c r="V134" s="57">
        <f>G134-K134</f>
        <v/>
      </c>
      <c r="W134" s="57">
        <f>C134-K134</f>
        <v/>
      </c>
      <c r="X134" s="67">
        <f>I134-G134</f>
        <v/>
      </c>
      <c r="Y134" s="75">
        <f>G134-M134</f>
        <v/>
      </c>
    </row>
    <row r="135">
      <c r="A135" s="52" t="n">
        <v>44300</v>
      </c>
      <c r="B135" s="53" t="n">
        <v>36.37</v>
      </c>
      <c r="C135" s="54">
        <f>myParidad('Flujo de Fondos'!$B$5,A135,B135,'Flujo de Fondos'!$B$7,'Flujo de Fondos'!$B$6)</f>
        <v/>
      </c>
      <c r="D135" s="53" t="n">
        <v>39.2</v>
      </c>
      <c r="E135" s="55">
        <f>myParidad('Flujo de Fondos'!$H$5,$A135,D135,'Flujo de Fondos'!$H$7,'Flujo de Fondos'!$H$6)</f>
        <v/>
      </c>
      <c r="F135" s="53" t="n">
        <v>34.57</v>
      </c>
      <c r="G135" s="54">
        <f>myParidad('Flujo de Fondos'!$N$5,$A135,F135,'Flujo de Fondos'!$N$7,'Flujo de Fondos'!$N$6)</f>
        <v/>
      </c>
      <c r="H135" s="56" t="n">
        <v>36.1</v>
      </c>
      <c r="I135" s="54">
        <f>myParidad('Flujo de Fondos'!$T$5,$A135,H135,'Flujo de Fondos'!$T$7,'Flujo de Fondos'!$T$6)</f>
        <v/>
      </c>
      <c r="J135" s="56" t="n">
        <v>30.72</v>
      </c>
      <c r="K135" s="54">
        <f>myParidad('Flujo de Fondos'!$B$34,$A135,J135,'Flujo de Fondos'!$B$36,'Flujo de Fondos'!$B$35)</f>
        <v/>
      </c>
      <c r="L135" s="53" t="n">
        <v>33.65</v>
      </c>
      <c r="M135" s="54">
        <f>myParidad('Flujo de Fondos'!$H$34,'Paridad usd'!$A135,'Paridad usd'!L135,'Flujo de Fondos'!$H$36,'Flujo de Fondos'!$H$35)</f>
        <v/>
      </c>
      <c r="N135" s="56" t="n">
        <v>33.48</v>
      </c>
      <c r="O135" s="54">
        <f>myParidad('Flujo de Fondos'!$N$34,$A135,N135,'Flujo de Fondos'!$N$36,'Flujo de Fondos'!$N$35)</f>
        <v/>
      </c>
      <c r="P135" s="57">
        <f>C135-G135</f>
        <v/>
      </c>
      <c r="Q135" s="57">
        <f>E135-C135</f>
        <v/>
      </c>
      <c r="R135" s="57">
        <f>C135-M135</f>
        <v/>
      </c>
      <c r="S135" s="55">
        <f>C135-O135</f>
        <v/>
      </c>
      <c r="T135" s="57">
        <f>E135-O135</f>
        <v/>
      </c>
      <c r="U135" s="57">
        <f>G135-O135</f>
        <v/>
      </c>
      <c r="V135" s="57">
        <f>G135-K135</f>
        <v/>
      </c>
      <c r="W135" s="57">
        <f>C135-K135</f>
        <v/>
      </c>
      <c r="X135" s="67">
        <f>I135-G135</f>
        <v/>
      </c>
      <c r="Y135" s="75">
        <f>G135-M135</f>
        <v/>
      </c>
    </row>
    <row r="136">
      <c r="A136" s="52" t="n">
        <v>44299</v>
      </c>
      <c r="B136" s="53" t="n">
        <v>36.4</v>
      </c>
      <c r="C136" s="54">
        <f>myParidad('Flujo de Fondos'!$B$5,A136,B136,'Flujo de Fondos'!$B$7,'Flujo de Fondos'!$B$6)</f>
        <v/>
      </c>
      <c r="D136" s="53" t="n">
        <v>39.9</v>
      </c>
      <c r="E136" s="55">
        <f>myParidad('Flujo de Fondos'!$H$5,$A136,D136,'Flujo de Fondos'!$H$7,'Flujo de Fondos'!$H$6)</f>
        <v/>
      </c>
      <c r="F136" s="53" t="n">
        <v>34.82</v>
      </c>
      <c r="G136" s="54">
        <f>myParidad('Flujo de Fondos'!$N$5,$A136,F136,'Flujo de Fondos'!$N$7,'Flujo de Fondos'!$N$6)</f>
        <v/>
      </c>
      <c r="H136" s="56" t="n">
        <v>36.39</v>
      </c>
      <c r="I136" s="54">
        <f>myParidad('Flujo de Fondos'!$T$5,$A136,H136,'Flujo de Fondos'!$T$7,'Flujo de Fondos'!$T$6)</f>
        <v/>
      </c>
      <c r="J136" s="56" t="n">
        <v>30.85</v>
      </c>
      <c r="K136" s="54">
        <f>myParidad('Flujo de Fondos'!$B$34,$A136,J136,'Flujo de Fondos'!$B$36,'Flujo de Fondos'!$B$35)</f>
        <v/>
      </c>
      <c r="L136" s="53" t="n">
        <v>33.84</v>
      </c>
      <c r="M136" s="54">
        <f>myParidad('Flujo de Fondos'!$H$34,'Paridad usd'!$A136,'Paridad usd'!L136,'Flujo de Fondos'!$H$36,'Flujo de Fondos'!$H$35)</f>
        <v/>
      </c>
      <c r="N136" s="56" t="n">
        <v>33.5</v>
      </c>
      <c r="O136" s="54">
        <f>myParidad('Flujo de Fondos'!$N$34,$A136,N136,'Flujo de Fondos'!$N$36,'Flujo de Fondos'!$N$35)</f>
        <v/>
      </c>
      <c r="P136" s="57">
        <f>C136-G136</f>
        <v/>
      </c>
      <c r="Q136" s="57">
        <f>E136-C136</f>
        <v/>
      </c>
      <c r="R136" s="57">
        <f>C136-M136</f>
        <v/>
      </c>
      <c r="S136" s="55">
        <f>C136-O136</f>
        <v/>
      </c>
      <c r="T136" s="57">
        <f>E136-O136</f>
        <v/>
      </c>
      <c r="U136" s="57">
        <f>G136-O136</f>
        <v/>
      </c>
      <c r="V136" s="57">
        <f>G136-K136</f>
        <v/>
      </c>
      <c r="W136" s="57">
        <f>C136-K136</f>
        <v/>
      </c>
      <c r="X136" s="67">
        <f>I136-G136</f>
        <v/>
      </c>
      <c r="Y136" s="75">
        <f>G136-M136</f>
        <v/>
      </c>
    </row>
    <row r="137">
      <c r="A137" s="52" t="n">
        <v>44298</v>
      </c>
      <c r="B137" s="53" t="n">
        <v>36.25</v>
      </c>
      <c r="C137" s="54">
        <f>myParidad('Flujo de Fondos'!$B$5,A137,B137,'Flujo de Fondos'!$B$7,'Flujo de Fondos'!$B$6)</f>
        <v/>
      </c>
      <c r="D137" s="53" t="n">
        <v>38.6</v>
      </c>
      <c r="E137" s="55">
        <f>myParidad('Flujo de Fondos'!$H$5,$A137,D137,'Flujo de Fondos'!$H$7,'Flujo de Fondos'!$H$6)</f>
        <v/>
      </c>
      <c r="F137" s="53" t="n">
        <v>34.65</v>
      </c>
      <c r="G137" s="54">
        <f>myParidad('Flujo de Fondos'!$N$5,$A137,F137,'Flujo de Fondos'!$N$7,'Flujo de Fondos'!$N$6)</f>
        <v/>
      </c>
      <c r="H137" s="56" t="n">
        <v>35.92</v>
      </c>
      <c r="I137" s="54">
        <f>myParidad('Flujo de Fondos'!$T$5,$A137,H137,'Flujo de Fondos'!$T$7,'Flujo de Fondos'!$T$6)</f>
        <v/>
      </c>
      <c r="J137" s="56" t="n">
        <v>30.6</v>
      </c>
      <c r="K137" s="54">
        <f>myParidad('Flujo de Fondos'!$B$34,$A137,J137,'Flujo de Fondos'!$B$36,'Flujo de Fondos'!$B$35)</f>
        <v/>
      </c>
      <c r="L137" s="53" t="n">
        <v>33.7</v>
      </c>
      <c r="M137" s="54">
        <f>myParidad('Flujo de Fondos'!$H$34,'Paridad usd'!$A137,'Paridad usd'!L137,'Flujo de Fondos'!$H$36,'Flujo de Fondos'!$H$35)</f>
        <v/>
      </c>
      <c r="N137" s="56" t="n">
        <v>33.5</v>
      </c>
      <c r="O137" s="54">
        <f>myParidad('Flujo de Fondos'!$N$34,$A137,N137,'Flujo de Fondos'!$N$36,'Flujo de Fondos'!$N$35)</f>
        <v/>
      </c>
      <c r="P137" s="57">
        <f>C137-G137</f>
        <v/>
      </c>
      <c r="Q137" s="57">
        <f>E137-C137</f>
        <v/>
      </c>
      <c r="R137" s="57">
        <f>C137-M137</f>
        <v/>
      </c>
      <c r="S137" s="55">
        <f>C137-O137</f>
        <v/>
      </c>
      <c r="T137" s="57">
        <f>E137-O137</f>
        <v/>
      </c>
      <c r="U137" s="57">
        <f>G137-O137</f>
        <v/>
      </c>
      <c r="V137" s="57">
        <f>G137-K137</f>
        <v/>
      </c>
      <c r="W137" s="57">
        <f>C137-K137</f>
        <v/>
      </c>
      <c r="X137" s="67">
        <f>I137-G137</f>
        <v/>
      </c>
      <c r="Y137" s="75">
        <f>G137-M137</f>
        <v/>
      </c>
    </row>
    <row r="138">
      <c r="A138" s="52" t="n">
        <v>44295</v>
      </c>
      <c r="B138" s="53" t="n">
        <v>35.62</v>
      </c>
      <c r="C138" s="54">
        <f>myParidad('Flujo de Fondos'!$B$5,A138,B138,'Flujo de Fondos'!$B$7,'Flujo de Fondos'!$B$6)</f>
        <v/>
      </c>
      <c r="D138" s="53" t="n">
        <v>37.77</v>
      </c>
      <c r="E138" s="55">
        <f>myParidad('Flujo de Fondos'!$H$5,$A138,D138,'Flujo de Fondos'!$H$7,'Flujo de Fondos'!$H$6)</f>
        <v/>
      </c>
      <c r="F138" s="53" t="n">
        <v>34.18</v>
      </c>
      <c r="G138" s="54">
        <f>myParidad('Flujo de Fondos'!$N$5,$A138,F138,'Flujo de Fondos'!$N$7,'Flujo de Fondos'!$N$6)</f>
        <v/>
      </c>
      <c r="H138" s="56" t="n">
        <v>35.15</v>
      </c>
      <c r="I138" s="54">
        <f>myParidad('Flujo de Fondos'!$T$5,$A138,H138,'Flujo de Fondos'!$T$7,'Flujo de Fondos'!$T$6)</f>
        <v/>
      </c>
      <c r="J138" s="56" t="n">
        <v>30.19</v>
      </c>
      <c r="K138" s="54">
        <f>myParidad('Flujo de Fondos'!$B$34,$A138,J138,'Flujo de Fondos'!$B$36,'Flujo de Fondos'!$B$35)</f>
        <v/>
      </c>
      <c r="L138" s="53" t="n">
        <v>33.1</v>
      </c>
      <c r="M138" s="54">
        <f>myParidad('Flujo de Fondos'!$H$34,'Paridad usd'!$A138,'Paridad usd'!L138,'Flujo de Fondos'!$H$36,'Flujo de Fondos'!$H$35)</f>
        <v/>
      </c>
      <c r="N138" s="56" t="n">
        <v>33.13</v>
      </c>
      <c r="O138" s="54">
        <f>myParidad('Flujo de Fondos'!$N$34,$A138,N138,'Flujo de Fondos'!$N$36,'Flujo de Fondos'!$N$35)</f>
        <v/>
      </c>
      <c r="P138" s="57">
        <f>C138-G138</f>
        <v/>
      </c>
      <c r="Q138" s="57">
        <f>E138-C138</f>
        <v/>
      </c>
      <c r="R138" s="57">
        <f>C138-M138</f>
        <v/>
      </c>
      <c r="S138" s="55">
        <f>C138-O138</f>
        <v/>
      </c>
      <c r="T138" s="57">
        <f>E138-O138</f>
        <v/>
      </c>
      <c r="U138" s="57">
        <f>G138-O138</f>
        <v/>
      </c>
      <c r="V138" s="57">
        <f>G138-K138</f>
        <v/>
      </c>
      <c r="W138" s="57">
        <f>C138-K138</f>
        <v/>
      </c>
      <c r="X138" s="67">
        <f>I138-G138</f>
        <v/>
      </c>
      <c r="Y138" s="75">
        <f>G138-M138</f>
        <v/>
      </c>
    </row>
    <row r="139">
      <c r="A139" s="52" t="n">
        <v>44294</v>
      </c>
      <c r="B139" s="53" t="n">
        <v>35.88</v>
      </c>
      <c r="C139" s="54">
        <f>myParidad('Flujo de Fondos'!$B$5,A139,B139,'Flujo de Fondos'!$B$7,'Flujo de Fondos'!$B$6)</f>
        <v/>
      </c>
      <c r="D139" s="53" t="n">
        <v>37.51</v>
      </c>
      <c r="E139" s="55">
        <f>myParidad('Flujo de Fondos'!$H$5,$A139,D139,'Flujo de Fondos'!$H$7,'Flujo de Fondos'!$H$6)</f>
        <v/>
      </c>
      <c r="F139" s="53" t="n">
        <v>34.39</v>
      </c>
      <c r="G139" s="54">
        <f>myParidad('Flujo de Fondos'!$N$5,$A139,F139,'Flujo de Fondos'!$N$7,'Flujo de Fondos'!$N$6)</f>
        <v/>
      </c>
      <c r="H139" s="56" t="n">
        <v>35.38</v>
      </c>
      <c r="I139" s="54">
        <f>myParidad('Flujo de Fondos'!$T$5,$A139,H139,'Flujo de Fondos'!$T$7,'Flujo de Fondos'!$T$6)</f>
        <v/>
      </c>
      <c r="J139" s="56" t="n">
        <v>30.4</v>
      </c>
      <c r="K139" s="54">
        <f>myParidad('Flujo de Fondos'!$B$34,$A139,J139,'Flujo de Fondos'!$B$36,'Flujo de Fondos'!$B$35)</f>
        <v/>
      </c>
      <c r="L139" s="53" t="n">
        <v>33.31</v>
      </c>
      <c r="M139" s="54">
        <f>myParidad('Flujo de Fondos'!$H$34,'Paridad usd'!$A139,'Paridad usd'!L139,'Flujo de Fondos'!$H$36,'Flujo de Fondos'!$H$35)</f>
        <v/>
      </c>
      <c r="N139" s="56" t="n">
        <v>33.1</v>
      </c>
      <c r="O139" s="54">
        <f>myParidad('Flujo de Fondos'!$N$34,$A139,N139,'Flujo de Fondos'!$N$36,'Flujo de Fondos'!$N$35)</f>
        <v/>
      </c>
      <c r="P139" s="57">
        <f>C139-G139</f>
        <v/>
      </c>
      <c r="Q139" s="57">
        <f>E139-C139</f>
        <v/>
      </c>
      <c r="R139" s="57">
        <f>C139-M139</f>
        <v/>
      </c>
      <c r="S139" s="55">
        <f>C139-O139</f>
        <v/>
      </c>
      <c r="T139" s="57">
        <f>E139-O139</f>
        <v/>
      </c>
      <c r="U139" s="57">
        <f>G139-O139</f>
        <v/>
      </c>
      <c r="V139" s="57">
        <f>G139-K139</f>
        <v/>
      </c>
      <c r="W139" s="57">
        <f>C139-K139</f>
        <v/>
      </c>
      <c r="X139" s="67">
        <f>I139-G139</f>
        <v/>
      </c>
      <c r="Y139" s="75">
        <f>G139-M139</f>
        <v/>
      </c>
    </row>
    <row r="140">
      <c r="A140" s="52" t="n">
        <v>44293</v>
      </c>
      <c r="B140" s="53" t="n">
        <v>35.79</v>
      </c>
      <c r="C140" s="54">
        <f>myParidad('Flujo de Fondos'!$B$5,A140,B140,'Flujo de Fondos'!$B$7,'Flujo de Fondos'!$B$6)</f>
        <v/>
      </c>
      <c r="D140" s="53" t="n">
        <v>37.9</v>
      </c>
      <c r="E140" s="55">
        <f>myParidad('Flujo de Fondos'!$H$5,$A140,D140,'Flujo de Fondos'!$H$7,'Flujo de Fondos'!$H$6)</f>
        <v/>
      </c>
      <c r="F140" s="53" t="n">
        <v>34.57</v>
      </c>
      <c r="G140" s="54">
        <f>myParidad('Flujo de Fondos'!$N$5,$A140,F140,'Flujo de Fondos'!$N$7,'Flujo de Fondos'!$N$6)</f>
        <v/>
      </c>
      <c r="H140" s="56" t="n">
        <v>35.29</v>
      </c>
      <c r="I140" s="54">
        <f>myParidad('Flujo de Fondos'!$T$5,$A140,H140,'Flujo de Fondos'!$T$7,'Flujo de Fondos'!$T$6)</f>
        <v/>
      </c>
      <c r="J140" s="56" t="n">
        <v>30.36</v>
      </c>
      <c r="K140" s="54">
        <f>myParidad('Flujo de Fondos'!$B$34,$A140,J140,'Flujo de Fondos'!$B$36,'Flujo de Fondos'!$B$35)</f>
        <v/>
      </c>
      <c r="L140" s="53" t="n">
        <v>32.42</v>
      </c>
      <c r="M140" s="54">
        <f>myParidad('Flujo de Fondos'!$H$34,'Paridad usd'!$A140,'Paridad usd'!L140,'Flujo de Fondos'!$H$36,'Flujo de Fondos'!$H$35)</f>
        <v/>
      </c>
      <c r="N140" s="56" t="n">
        <v>33.2</v>
      </c>
      <c r="O140" s="54">
        <f>myParidad('Flujo de Fondos'!$N$34,$A140,N140,'Flujo de Fondos'!$N$36,'Flujo de Fondos'!$N$35)</f>
        <v/>
      </c>
      <c r="P140" s="57">
        <f>C140-G140</f>
        <v/>
      </c>
      <c r="Q140" s="57">
        <f>E140-C140</f>
        <v/>
      </c>
      <c r="R140" s="57">
        <f>C140-M140</f>
        <v/>
      </c>
      <c r="S140" s="55">
        <f>C140-O140</f>
        <v/>
      </c>
      <c r="T140" s="57">
        <f>E140-O140</f>
        <v/>
      </c>
      <c r="U140" s="57">
        <f>G140-O140</f>
        <v/>
      </c>
      <c r="V140" s="57">
        <f>G140-K140</f>
        <v/>
      </c>
      <c r="W140" s="57">
        <f>C140-K140</f>
        <v/>
      </c>
      <c r="X140" s="67">
        <f>I140-G140</f>
        <v/>
      </c>
      <c r="Y140" s="75">
        <f>G140-M140</f>
        <v/>
      </c>
    </row>
    <row r="141">
      <c r="A141" s="52" t="n">
        <v>44292</v>
      </c>
      <c r="B141" s="53" t="n">
        <v>35.9</v>
      </c>
      <c r="C141" s="54">
        <f>myParidad('Flujo de Fondos'!$B$5,A141,B141,'Flujo de Fondos'!$B$7,'Flujo de Fondos'!$B$6)</f>
        <v/>
      </c>
      <c r="D141" s="53" t="n">
        <v>38.7</v>
      </c>
      <c r="E141" s="55">
        <f>myParidad('Flujo de Fondos'!$H$5,$A141,D141,'Flujo de Fondos'!$H$7,'Flujo de Fondos'!$H$6)</f>
        <v/>
      </c>
      <c r="F141" s="53" t="n">
        <v>34.63</v>
      </c>
      <c r="G141" s="54">
        <f>myParidad('Flujo de Fondos'!$N$5,$A141,F141,'Flujo de Fondos'!$N$7,'Flujo de Fondos'!$N$6)</f>
        <v/>
      </c>
      <c r="H141" s="56" t="n">
        <v>35.4</v>
      </c>
      <c r="I141" s="54">
        <f>myParidad('Flujo de Fondos'!$T$5,$A141,H141,'Flujo de Fondos'!$T$7,'Flujo de Fondos'!$T$6)</f>
        <v/>
      </c>
      <c r="J141" s="56" t="n">
        <v>30.5</v>
      </c>
      <c r="K141" s="54">
        <f>myParidad('Flujo de Fondos'!$B$34,$A141,J141,'Flujo de Fondos'!$B$36,'Flujo de Fondos'!$B$35)</f>
        <v/>
      </c>
      <c r="L141" s="53" t="n">
        <v>33.7</v>
      </c>
      <c r="M141" s="54">
        <f>myParidad('Flujo de Fondos'!$H$34,'Paridad usd'!$A141,'Paridad usd'!L141,'Flujo de Fondos'!$H$36,'Flujo de Fondos'!$H$35)</f>
        <v/>
      </c>
      <c r="N141" s="56" t="n">
        <v>33</v>
      </c>
      <c r="O141" s="54">
        <f>myParidad('Flujo de Fondos'!$N$34,$A141,N141,'Flujo de Fondos'!$N$36,'Flujo de Fondos'!$N$35)</f>
        <v/>
      </c>
      <c r="P141" s="57">
        <f>C141-G141</f>
        <v/>
      </c>
      <c r="Q141" s="57">
        <f>E141-C141</f>
        <v/>
      </c>
      <c r="R141" s="57">
        <f>C141-M141</f>
        <v/>
      </c>
      <c r="S141" s="55">
        <f>C141-O141</f>
        <v/>
      </c>
      <c r="T141" s="57">
        <f>E141-O141</f>
        <v/>
      </c>
      <c r="U141" s="57">
        <f>G141-O141</f>
        <v/>
      </c>
      <c r="V141" s="57">
        <f>G141-K141</f>
        <v/>
      </c>
      <c r="W141" s="57">
        <f>C141-K141</f>
        <v/>
      </c>
      <c r="X141" s="67">
        <f>I141-G141</f>
        <v/>
      </c>
      <c r="Y141" s="75">
        <f>G141-M141</f>
        <v/>
      </c>
    </row>
    <row r="142">
      <c r="A142" s="52" t="n">
        <v>44291</v>
      </c>
      <c r="B142" s="53" t="n">
        <v>36.16</v>
      </c>
      <c r="C142" s="54">
        <f>myParidad('Flujo de Fondos'!$B$5,A142,B142,'Flujo de Fondos'!$B$7,'Flujo de Fondos'!$B$6)</f>
        <v/>
      </c>
      <c r="D142" s="53" t="n">
        <v>38.84</v>
      </c>
      <c r="E142" s="55">
        <f>myParidad('Flujo de Fondos'!$H$5,$A142,D142,'Flujo de Fondos'!$H$7,'Flujo de Fondos'!$H$6)</f>
        <v/>
      </c>
      <c r="F142" s="53" t="n">
        <v>34.85</v>
      </c>
      <c r="G142" s="54">
        <f>myParidad('Flujo de Fondos'!$N$5,$A142,F142,'Flujo de Fondos'!$N$7,'Flujo de Fondos'!$N$6)</f>
        <v/>
      </c>
      <c r="H142" s="56" t="n">
        <v>35.35</v>
      </c>
      <c r="I142" s="54">
        <f>myParidad('Flujo de Fondos'!$T$5,$A142,H142,'Flujo de Fondos'!$T$7,'Flujo de Fondos'!$T$6)</f>
        <v/>
      </c>
      <c r="J142" s="56" t="n">
        <v>30.6</v>
      </c>
      <c r="K142" s="54">
        <f>myParidad('Flujo de Fondos'!$B$34,$A142,J142,'Flujo de Fondos'!$B$36,'Flujo de Fondos'!$B$35)</f>
        <v/>
      </c>
      <c r="L142" s="53" t="n">
        <v>33.9</v>
      </c>
      <c r="M142" s="54">
        <f>myParidad('Flujo de Fondos'!$H$34,'Paridad usd'!$A142,'Paridad usd'!L142,'Flujo de Fondos'!$H$36,'Flujo de Fondos'!$H$35)</f>
        <v/>
      </c>
      <c r="N142" s="56" t="n">
        <v>33.25</v>
      </c>
      <c r="O142" s="54">
        <f>myParidad('Flujo de Fondos'!$N$34,$A142,N142,'Flujo de Fondos'!$N$36,'Flujo de Fondos'!$N$35)</f>
        <v/>
      </c>
      <c r="P142" s="57">
        <f>C142-G142</f>
        <v/>
      </c>
      <c r="Q142" s="57">
        <f>E142-C142</f>
        <v/>
      </c>
      <c r="R142" s="57">
        <f>C142-M142</f>
        <v/>
      </c>
      <c r="S142" s="55">
        <f>C142-O142</f>
        <v/>
      </c>
      <c r="T142" s="57">
        <f>E142-O142</f>
        <v/>
      </c>
      <c r="U142" s="57">
        <f>G142-O142</f>
        <v/>
      </c>
      <c r="V142" s="57">
        <f>G142-K142</f>
        <v/>
      </c>
      <c r="W142" s="57">
        <f>C142-K142</f>
        <v/>
      </c>
      <c r="X142" s="67">
        <f>I142-G142</f>
        <v/>
      </c>
      <c r="Y142" s="75">
        <f>G142-M142</f>
        <v/>
      </c>
    </row>
    <row r="143">
      <c r="A143" s="52" t="n">
        <v>44286</v>
      </c>
      <c r="B143" s="53" t="n">
        <v>36</v>
      </c>
      <c r="C143" s="54">
        <f>myParidad('Flujo de Fondos'!$B$5,A143,B143,'Flujo de Fondos'!$B$7,'Flujo de Fondos'!$B$6)</f>
        <v/>
      </c>
      <c r="D143" s="53" t="n">
        <v>38.85</v>
      </c>
      <c r="E143" s="55">
        <f>myParidad('Flujo de Fondos'!$H$5,$A143,D143,'Flujo de Fondos'!$H$7,'Flujo de Fondos'!$H$6)</f>
        <v/>
      </c>
      <c r="F143" s="53" t="n">
        <v>34.05</v>
      </c>
      <c r="G143" s="54">
        <f>myParidad('Flujo de Fondos'!$N$5,$A143,F143,'Flujo de Fondos'!$N$7,'Flujo de Fondos'!$N$6)</f>
        <v/>
      </c>
      <c r="H143" s="56" t="n">
        <v>35.01</v>
      </c>
      <c r="I143" s="54">
        <f>myParidad('Flujo de Fondos'!$T$5,$A143,H143,'Flujo de Fondos'!$T$7,'Flujo de Fondos'!$T$6)</f>
        <v/>
      </c>
      <c r="J143" s="56" t="n">
        <v>30.49</v>
      </c>
      <c r="K143" s="54">
        <f>myParidad('Flujo de Fondos'!$B$34,$A143,J143,'Flujo de Fondos'!$B$36,'Flujo de Fondos'!$B$35)</f>
        <v/>
      </c>
      <c r="L143" s="53" t="n">
        <v>33.9</v>
      </c>
      <c r="M143" s="54">
        <f>myParidad('Flujo de Fondos'!$H$34,'Paridad usd'!$A143,'Paridad usd'!L143,'Flujo de Fondos'!$H$36,'Flujo de Fondos'!$H$35)</f>
        <v/>
      </c>
      <c r="N143" s="56" t="n">
        <v>33.55</v>
      </c>
      <c r="O143" s="54">
        <f>myParidad('Flujo de Fondos'!$N$34,$A143,N143,'Flujo de Fondos'!$N$36,'Flujo de Fondos'!$N$35)</f>
        <v/>
      </c>
      <c r="P143" s="57">
        <f>C143-G143</f>
        <v/>
      </c>
      <c r="Q143" s="57">
        <f>E143-C143</f>
        <v/>
      </c>
      <c r="R143" s="57">
        <f>C143-M143</f>
        <v/>
      </c>
      <c r="S143" s="55">
        <f>C143-O143</f>
        <v/>
      </c>
      <c r="T143" s="57">
        <f>E143-O143</f>
        <v/>
      </c>
      <c r="U143" s="57">
        <f>G143-O143</f>
        <v/>
      </c>
      <c r="V143" s="57">
        <f>G143-K143</f>
        <v/>
      </c>
      <c r="W143" s="57">
        <f>C143-K143</f>
        <v/>
      </c>
      <c r="X143" s="67">
        <f>I143-G143</f>
        <v/>
      </c>
      <c r="Y143" s="75">
        <f>G143-M143</f>
        <v/>
      </c>
    </row>
    <row r="144">
      <c r="A144" s="52" t="n">
        <v>44285</v>
      </c>
      <c r="B144" s="53" t="n">
        <v>35.8</v>
      </c>
      <c r="C144" s="54">
        <f>myParidad('Flujo de Fondos'!$B$5,A144,B144,'Flujo de Fondos'!$B$7,'Flujo de Fondos'!$B$6)</f>
        <v/>
      </c>
      <c r="D144" s="53" t="n">
        <v>38.1</v>
      </c>
      <c r="E144" s="55">
        <f>myParidad('Flujo de Fondos'!$H$5,$A144,D144,'Flujo de Fondos'!$H$7,'Flujo de Fondos'!$H$6)</f>
        <v/>
      </c>
      <c r="F144" s="53" t="n">
        <v>34.29</v>
      </c>
      <c r="G144" s="54">
        <f>myParidad('Flujo de Fondos'!$N$5,$A144,F144,'Flujo de Fondos'!$N$7,'Flujo de Fondos'!$N$6)</f>
        <v/>
      </c>
      <c r="H144" s="56" t="n">
        <v>35.09</v>
      </c>
      <c r="I144" s="54">
        <f>myParidad('Flujo de Fondos'!$T$5,$A144,H144,'Flujo de Fondos'!$T$7,'Flujo de Fondos'!$T$6)</f>
        <v/>
      </c>
      <c r="J144" s="56" t="n">
        <v>30.69</v>
      </c>
      <c r="K144" s="54">
        <f>myParidad('Flujo de Fondos'!$B$34,$A144,J144,'Flujo de Fondos'!$B$36,'Flujo de Fondos'!$B$35)</f>
        <v/>
      </c>
      <c r="L144" s="53" t="n">
        <v>34</v>
      </c>
      <c r="M144" s="54">
        <f>myParidad('Flujo de Fondos'!$H$34,'Paridad usd'!$A144,'Paridad usd'!L144,'Flujo de Fondos'!$H$36,'Flujo de Fondos'!$H$35)</f>
        <v/>
      </c>
      <c r="N144" s="56" t="n">
        <v>33.9</v>
      </c>
      <c r="O144" s="54">
        <f>myParidad('Flujo de Fondos'!$N$34,$A144,N144,'Flujo de Fondos'!$N$36,'Flujo de Fondos'!$N$35)</f>
        <v/>
      </c>
      <c r="P144" s="57">
        <f>C144-G144</f>
        <v/>
      </c>
      <c r="Q144" s="57">
        <f>E144-C144</f>
        <v/>
      </c>
      <c r="R144" s="57">
        <f>C144-M144</f>
        <v/>
      </c>
      <c r="S144" s="55">
        <f>C144-O144</f>
        <v/>
      </c>
      <c r="T144" s="57">
        <f>E144-O144</f>
        <v/>
      </c>
      <c r="U144" s="57">
        <f>G144-O144</f>
        <v/>
      </c>
      <c r="V144" s="57">
        <f>G144-K144</f>
        <v/>
      </c>
      <c r="W144" s="57">
        <f>C144-K144</f>
        <v/>
      </c>
      <c r="X144" s="67">
        <f>I144-G144</f>
        <v/>
      </c>
      <c r="Y144" s="75">
        <f>G144-M144</f>
        <v/>
      </c>
    </row>
    <row r="145">
      <c r="A145" s="52" t="n">
        <v>44284</v>
      </c>
      <c r="B145" s="53" t="n">
        <v>36.18</v>
      </c>
      <c r="C145" s="54">
        <f>myParidad('Flujo de Fondos'!$B$5,A145,B145,'Flujo de Fondos'!$B$7,'Flujo de Fondos'!$B$6)</f>
        <v/>
      </c>
      <c r="D145" s="53" t="n">
        <v>38.11</v>
      </c>
      <c r="E145" s="55">
        <f>myParidad('Flujo de Fondos'!$H$5,$A145,D145,'Flujo de Fondos'!$H$7,'Flujo de Fondos'!$H$6)</f>
        <v/>
      </c>
      <c r="F145" s="53" t="n">
        <v>34.67</v>
      </c>
      <c r="G145" s="54">
        <f>myParidad('Flujo de Fondos'!$N$5,$A145,F145,'Flujo de Fondos'!$N$7,'Flujo de Fondos'!$N$6)</f>
        <v/>
      </c>
      <c r="H145" s="56" t="n">
        <v>35.65</v>
      </c>
      <c r="I145" s="54">
        <f>myParidad('Flujo de Fondos'!$T$5,$A145,H145,'Flujo de Fondos'!$T$7,'Flujo de Fondos'!$T$6)</f>
        <v/>
      </c>
      <c r="J145" s="56" t="n">
        <v>30.81</v>
      </c>
      <c r="K145" s="54">
        <f>myParidad('Flujo de Fondos'!$B$34,$A145,J145,'Flujo de Fondos'!$B$36,'Flujo de Fondos'!$B$35)</f>
        <v/>
      </c>
      <c r="L145" s="53" t="n">
        <v>34.31</v>
      </c>
      <c r="M145" s="54">
        <f>myParidad('Flujo de Fondos'!$H$34,'Paridad usd'!$A145,'Paridad usd'!L145,'Flujo de Fondos'!$H$36,'Flujo de Fondos'!$H$35)</f>
        <v/>
      </c>
      <c r="N145" s="56" t="n">
        <v>33.8</v>
      </c>
      <c r="O145" s="54">
        <f>myParidad('Flujo de Fondos'!$N$34,$A145,N145,'Flujo de Fondos'!$N$36,'Flujo de Fondos'!$N$35)</f>
        <v/>
      </c>
      <c r="P145" s="57">
        <f>C145-G145</f>
        <v/>
      </c>
      <c r="Q145" s="57">
        <f>E145-C145</f>
        <v/>
      </c>
      <c r="R145" s="57">
        <f>C145-M145</f>
        <v/>
      </c>
      <c r="S145" s="55">
        <f>C145-O145</f>
        <v/>
      </c>
      <c r="T145" s="57">
        <f>E145-O145</f>
        <v/>
      </c>
      <c r="U145" s="57">
        <f>G145-O145</f>
        <v/>
      </c>
      <c r="V145" s="57">
        <f>G145-K145</f>
        <v/>
      </c>
      <c r="W145" s="57">
        <f>C145-K145</f>
        <v/>
      </c>
      <c r="X145" s="67">
        <f>I145-G145</f>
        <v/>
      </c>
      <c r="Y145" s="75">
        <f>G145-M145</f>
        <v/>
      </c>
    </row>
    <row r="146">
      <c r="A146" s="52" t="n">
        <v>44281</v>
      </c>
      <c r="B146" s="53" t="n">
        <v>36.5</v>
      </c>
      <c r="C146" s="54">
        <f>myParidad('Flujo de Fondos'!$B$5,A146,B146,'Flujo de Fondos'!$B$7,'Flujo de Fondos'!$B$6)</f>
        <v/>
      </c>
      <c r="D146" s="53" t="n">
        <v>39.1</v>
      </c>
      <c r="E146" s="55">
        <f>myParidad('Flujo de Fondos'!$H$5,$A146,D146,'Flujo de Fondos'!$H$7,'Flujo de Fondos'!$H$6)</f>
        <v/>
      </c>
      <c r="F146" s="53" t="n">
        <v>35.32</v>
      </c>
      <c r="G146" s="54">
        <f>myParidad('Flujo de Fondos'!$N$5,$A146,F146,'Flujo de Fondos'!$N$7,'Flujo de Fondos'!$N$6)</f>
        <v/>
      </c>
      <c r="H146" s="56" t="n">
        <v>36.21</v>
      </c>
      <c r="I146" s="54">
        <f>myParidad('Flujo de Fondos'!$T$5,$A146,H146,'Flujo de Fondos'!$T$7,'Flujo de Fondos'!$T$6)</f>
        <v/>
      </c>
      <c r="J146" s="56" t="n">
        <v>31.2</v>
      </c>
      <c r="K146" s="54">
        <f>myParidad('Flujo de Fondos'!$B$34,$A146,J146,'Flujo de Fondos'!$B$36,'Flujo de Fondos'!$B$35)</f>
        <v/>
      </c>
      <c r="L146" s="53" t="n">
        <v>34.74</v>
      </c>
      <c r="M146" s="54">
        <f>myParidad('Flujo de Fondos'!$H$34,'Paridad usd'!$A146,'Paridad usd'!L146,'Flujo de Fondos'!$H$36,'Flujo de Fondos'!$H$35)</f>
        <v/>
      </c>
      <c r="N146" s="56" t="n">
        <v>34.35</v>
      </c>
      <c r="O146" s="54">
        <f>myParidad('Flujo de Fondos'!$N$34,$A146,N146,'Flujo de Fondos'!$N$36,'Flujo de Fondos'!$N$35)</f>
        <v/>
      </c>
      <c r="P146" s="57">
        <f>C146-G146</f>
        <v/>
      </c>
      <c r="Q146" s="57">
        <f>E146-C146</f>
        <v/>
      </c>
      <c r="R146" s="57">
        <f>C146-M146</f>
        <v/>
      </c>
      <c r="S146" s="55">
        <f>C146-O146</f>
        <v/>
      </c>
      <c r="T146" s="57">
        <f>E146-O146</f>
        <v/>
      </c>
      <c r="U146" s="57">
        <f>G146-O146</f>
        <v/>
      </c>
      <c r="V146" s="57">
        <f>G146-K146</f>
        <v/>
      </c>
      <c r="W146" s="57">
        <f>C146-K146</f>
        <v/>
      </c>
      <c r="X146" s="67">
        <f>I146-G146</f>
        <v/>
      </c>
      <c r="Y146" s="75">
        <f>G146-M146</f>
        <v/>
      </c>
    </row>
    <row r="147">
      <c r="A147" s="52" t="n">
        <v>44280</v>
      </c>
      <c r="B147" s="53" t="n">
        <v>36.4</v>
      </c>
      <c r="C147" s="54">
        <f>myParidad('Flujo de Fondos'!$B$5,A147,B147,'Flujo de Fondos'!$B$7,'Flujo de Fondos'!$B$6)</f>
        <v/>
      </c>
      <c r="D147" s="53" t="n">
        <v>38.81</v>
      </c>
      <c r="E147" s="55">
        <f>myParidad('Flujo de Fondos'!$H$5,$A147,D147,'Flujo de Fondos'!$H$7,'Flujo de Fondos'!$H$6)</f>
        <v/>
      </c>
      <c r="F147" s="53" t="n">
        <v>35.33</v>
      </c>
      <c r="G147" s="54">
        <f>myParidad('Flujo de Fondos'!$N$5,$A147,F147,'Flujo de Fondos'!$N$7,'Flujo de Fondos'!$N$6)</f>
        <v/>
      </c>
      <c r="H147" s="56" t="n">
        <v>36.3</v>
      </c>
      <c r="I147" s="54">
        <f>myParidad('Flujo de Fondos'!$T$5,$A147,H147,'Flujo de Fondos'!$T$7,'Flujo de Fondos'!$T$6)</f>
        <v/>
      </c>
      <c r="J147" s="56" t="n">
        <v>31.51</v>
      </c>
      <c r="K147" s="54">
        <f>myParidad('Flujo de Fondos'!$B$34,$A147,J147,'Flujo de Fondos'!$B$36,'Flujo de Fondos'!$B$35)</f>
        <v/>
      </c>
      <c r="L147" s="53" t="n">
        <v>34.8</v>
      </c>
      <c r="M147" s="54">
        <f>myParidad('Flujo de Fondos'!$H$34,'Paridad usd'!$A147,'Paridad usd'!L147,'Flujo de Fondos'!$H$36,'Flujo de Fondos'!$H$35)</f>
        <v/>
      </c>
      <c r="N147" s="56" t="n">
        <v>34.6</v>
      </c>
      <c r="O147" s="54">
        <f>myParidad('Flujo de Fondos'!$N$34,$A147,N147,'Flujo de Fondos'!$N$36,'Flujo de Fondos'!$N$35)</f>
        <v/>
      </c>
      <c r="P147" s="57">
        <f>C147-G147</f>
        <v/>
      </c>
      <c r="Q147" s="57">
        <f>E147-C147</f>
        <v/>
      </c>
      <c r="R147" s="57">
        <f>C147-M147</f>
        <v/>
      </c>
      <c r="S147" s="55">
        <f>C147-O147</f>
        <v/>
      </c>
      <c r="T147" s="57">
        <f>E147-O147</f>
        <v/>
      </c>
      <c r="U147" s="57">
        <f>G147-O147</f>
        <v/>
      </c>
      <c r="V147" s="57">
        <f>G147-K147</f>
        <v/>
      </c>
      <c r="W147" s="57">
        <f>C147-K147</f>
        <v/>
      </c>
      <c r="X147" s="67">
        <f>I147-G147</f>
        <v/>
      </c>
      <c r="Y147" s="75">
        <f>G147-M147</f>
        <v/>
      </c>
    </row>
    <row r="148">
      <c r="A148" s="52" t="n">
        <v>44278</v>
      </c>
      <c r="B148" s="53" t="n">
        <v>37.25</v>
      </c>
      <c r="C148" s="54">
        <f>myParidad('Flujo de Fondos'!$B$5,A148,B148,'Flujo de Fondos'!$B$7,'Flujo de Fondos'!$B$6)</f>
        <v/>
      </c>
      <c r="D148" s="53" t="n">
        <v>40</v>
      </c>
      <c r="E148" s="55">
        <f>myParidad('Flujo de Fondos'!$H$5,$A148,D148,'Flujo de Fondos'!$H$7,'Flujo de Fondos'!$H$6)</f>
        <v/>
      </c>
      <c r="F148" s="53" t="n">
        <v>36</v>
      </c>
      <c r="G148" s="54">
        <f>myParidad('Flujo de Fondos'!$N$5,$A148,F148,'Flujo de Fondos'!$N$7,'Flujo de Fondos'!$N$6)</f>
        <v/>
      </c>
      <c r="H148" s="56" t="n">
        <v>37.08</v>
      </c>
      <c r="I148" s="54">
        <f>myParidad('Flujo de Fondos'!$T$5,$A148,H148,'Flujo de Fondos'!$T$7,'Flujo de Fondos'!$T$6)</f>
        <v/>
      </c>
      <c r="J148" s="56" t="n">
        <v>32.74</v>
      </c>
      <c r="K148" s="54">
        <f>myParidad('Flujo de Fondos'!$B$34,$A148,J148,'Flujo de Fondos'!$B$36,'Flujo de Fondos'!$B$35)</f>
        <v/>
      </c>
      <c r="L148" s="53" t="n">
        <v>35.32</v>
      </c>
      <c r="M148" s="54">
        <f>myParidad('Flujo de Fondos'!$H$34,'Paridad usd'!$A148,'Paridad usd'!L148,'Flujo de Fondos'!$H$36,'Flujo de Fondos'!$H$35)</f>
        <v/>
      </c>
      <c r="N148" s="56" t="n">
        <v>35.25</v>
      </c>
      <c r="O148" s="54">
        <f>myParidad('Flujo de Fondos'!$N$34,$A148,N148,'Flujo de Fondos'!$N$36,'Flujo de Fondos'!$N$35)</f>
        <v/>
      </c>
      <c r="P148" s="57">
        <f>C148-G148</f>
        <v/>
      </c>
      <c r="Q148" s="57">
        <f>E148-C148</f>
        <v/>
      </c>
      <c r="R148" s="57">
        <f>C148-M148</f>
        <v/>
      </c>
      <c r="S148" s="55">
        <f>C148-O148</f>
        <v/>
      </c>
      <c r="T148" s="57">
        <f>E148-O148</f>
        <v/>
      </c>
      <c r="U148" s="57">
        <f>G148-O148</f>
        <v/>
      </c>
      <c r="V148" s="57">
        <f>G148-K148</f>
        <v/>
      </c>
      <c r="W148" s="57">
        <f>C148-K148</f>
        <v/>
      </c>
      <c r="X148" s="67">
        <f>I148-G148</f>
        <v/>
      </c>
      <c r="Y148" s="75">
        <f>G148-M148</f>
        <v/>
      </c>
    </row>
    <row r="149">
      <c r="A149" s="52" t="n">
        <v>44277</v>
      </c>
      <c r="B149" s="53" t="n">
        <v>37.55</v>
      </c>
      <c r="C149" s="54">
        <f>myParidad('Flujo de Fondos'!$B$5,A149,B149,'Flujo de Fondos'!$B$7,'Flujo de Fondos'!$B$6)</f>
        <v/>
      </c>
      <c r="D149" s="53" t="n">
        <v>40</v>
      </c>
      <c r="E149" s="55">
        <f>myParidad('Flujo de Fondos'!$H$5,$A149,D149,'Flujo de Fondos'!$H$7,'Flujo de Fondos'!$H$6)</f>
        <v/>
      </c>
      <c r="F149" s="53" t="n">
        <v>36.41</v>
      </c>
      <c r="G149" s="54">
        <f>myParidad('Flujo de Fondos'!$N$5,$A149,F149,'Flujo de Fondos'!$N$7,'Flujo de Fondos'!$N$6)</f>
        <v/>
      </c>
      <c r="H149" s="56" t="n">
        <v>37.55</v>
      </c>
      <c r="I149" s="54">
        <f>myParidad('Flujo de Fondos'!$T$5,$A149,H149,'Flujo de Fondos'!$T$7,'Flujo de Fondos'!$T$6)</f>
        <v/>
      </c>
      <c r="J149" s="56" t="n">
        <v>32.75</v>
      </c>
      <c r="K149" s="54">
        <f>myParidad('Flujo de Fondos'!$B$34,$A149,J149,'Flujo de Fondos'!$B$36,'Flujo de Fondos'!$B$35)</f>
        <v/>
      </c>
      <c r="L149" s="53" t="n">
        <v>35.3</v>
      </c>
      <c r="M149" s="54">
        <f>myParidad('Flujo de Fondos'!$H$34,'Paridad usd'!$A149,'Paridad usd'!L149,'Flujo de Fondos'!$H$36,'Flujo de Fondos'!$H$35)</f>
        <v/>
      </c>
      <c r="N149" s="56" t="n">
        <v>34.85</v>
      </c>
      <c r="O149" s="54">
        <f>myParidad('Flujo de Fondos'!$N$34,$A149,N149,'Flujo de Fondos'!$N$36,'Flujo de Fondos'!$N$35)</f>
        <v/>
      </c>
      <c r="P149" s="57">
        <f>C149-G149</f>
        <v/>
      </c>
      <c r="Q149" s="57">
        <f>E149-C149</f>
        <v/>
      </c>
      <c r="R149" s="57">
        <f>C149-M149</f>
        <v/>
      </c>
      <c r="S149" s="55">
        <f>C149-O149</f>
        <v/>
      </c>
      <c r="T149" s="57">
        <f>E149-O149</f>
        <v/>
      </c>
      <c r="U149" s="57">
        <f>G149-O149</f>
        <v/>
      </c>
      <c r="V149" s="57">
        <f>G149-K149</f>
        <v/>
      </c>
      <c r="W149" s="57">
        <f>C149-K149</f>
        <v/>
      </c>
      <c r="X149" s="67">
        <f>I149-G149</f>
        <v/>
      </c>
      <c r="Y149" s="75">
        <f>G149-M149</f>
        <v/>
      </c>
    </row>
    <row r="150">
      <c r="A150" s="52" t="n">
        <v>44274</v>
      </c>
      <c r="B150" s="53" t="n">
        <v>37</v>
      </c>
      <c r="C150" s="54">
        <f>myParidad('Flujo de Fondos'!$B$5,A150,B150,'Flujo de Fondos'!$B$7,'Flujo de Fondos'!$B$6)</f>
        <v/>
      </c>
      <c r="D150" s="53" t="n">
        <v>39.6</v>
      </c>
      <c r="E150" s="55">
        <f>myParidad('Flujo de Fondos'!$H$5,$A150,D150,'Flujo de Fondos'!$H$7,'Flujo de Fondos'!$H$6)</f>
        <v/>
      </c>
      <c r="F150" s="53" t="n">
        <v>35.92</v>
      </c>
      <c r="G150" s="54">
        <f>myParidad('Flujo de Fondos'!$N$5,$A150,F150,'Flujo de Fondos'!$N$7,'Flujo de Fondos'!$N$6)</f>
        <v/>
      </c>
      <c r="H150" s="56" t="n">
        <v>36.95</v>
      </c>
      <c r="I150" s="54">
        <f>myParidad('Flujo de Fondos'!$T$5,$A150,H150,'Flujo de Fondos'!$T$7,'Flujo de Fondos'!$T$6)</f>
        <v/>
      </c>
      <c r="J150" s="56" t="n">
        <v>32.16</v>
      </c>
      <c r="K150" s="54">
        <f>myParidad('Flujo de Fondos'!$B$34,$A150,J150,'Flujo de Fondos'!$B$36,'Flujo de Fondos'!$B$35)</f>
        <v/>
      </c>
      <c r="L150" s="53" t="n">
        <v>34.45</v>
      </c>
      <c r="M150" s="54">
        <f>myParidad('Flujo de Fondos'!$H$34,'Paridad usd'!$A150,'Paridad usd'!L150,'Flujo de Fondos'!$H$36,'Flujo de Fondos'!$H$35)</f>
        <v/>
      </c>
      <c r="N150" s="56" t="n">
        <v>34.25</v>
      </c>
      <c r="O150" s="54">
        <f>myParidad('Flujo de Fondos'!$N$34,$A150,N150,'Flujo de Fondos'!$N$36,'Flujo de Fondos'!$N$35)</f>
        <v/>
      </c>
      <c r="P150" s="57">
        <f>C150-G150</f>
        <v/>
      </c>
      <c r="Q150" s="57">
        <f>E150-C150</f>
        <v/>
      </c>
      <c r="R150" s="57">
        <f>C150-M150</f>
        <v/>
      </c>
      <c r="S150" s="55">
        <f>C150-O150</f>
        <v/>
      </c>
      <c r="T150" s="57">
        <f>E150-O150</f>
        <v/>
      </c>
      <c r="U150" s="57">
        <f>G150-O150</f>
        <v/>
      </c>
      <c r="V150" s="57">
        <f>G150-K150</f>
        <v/>
      </c>
      <c r="W150" s="57">
        <f>C150-K150</f>
        <v/>
      </c>
      <c r="X150" s="67">
        <f>I150-G150</f>
        <v/>
      </c>
      <c r="Y150" s="75">
        <f>G150-M150</f>
        <v/>
      </c>
    </row>
    <row r="151">
      <c r="A151" s="52" t="n">
        <v>44273</v>
      </c>
      <c r="B151" s="53" t="n">
        <v>36.72</v>
      </c>
      <c r="C151" s="54">
        <f>myParidad('Flujo de Fondos'!$B$5,A151,B151,'Flujo de Fondos'!$B$7,'Flujo de Fondos'!$B$6)</f>
        <v/>
      </c>
      <c r="D151" s="53" t="n">
        <v>39.79</v>
      </c>
      <c r="E151" s="55">
        <f>myParidad('Flujo de Fondos'!$H$5,$A151,D151,'Flujo de Fondos'!$H$7,'Flujo de Fondos'!$H$6)</f>
        <v/>
      </c>
      <c r="F151" s="53" t="n">
        <v>35.82</v>
      </c>
      <c r="G151" s="54">
        <f>myParidad('Flujo de Fondos'!$N$5,$A151,F151,'Flujo de Fondos'!$N$7,'Flujo de Fondos'!$N$6)</f>
        <v/>
      </c>
      <c r="H151" s="56" t="n">
        <v>36.61</v>
      </c>
      <c r="I151" s="54">
        <f>myParidad('Flujo de Fondos'!$T$5,$A151,H151,'Flujo de Fondos'!$T$7,'Flujo de Fondos'!$T$6)</f>
        <v/>
      </c>
      <c r="J151" s="56" t="n">
        <v>31.6</v>
      </c>
      <c r="K151" s="54">
        <f>myParidad('Flujo de Fondos'!$B$34,$A151,J151,'Flujo de Fondos'!$B$36,'Flujo de Fondos'!$B$35)</f>
        <v/>
      </c>
      <c r="L151" s="53" t="n">
        <v>33.92</v>
      </c>
      <c r="M151" s="54">
        <f>myParidad('Flujo de Fondos'!$H$34,'Paridad usd'!$A151,'Paridad usd'!L151,'Flujo de Fondos'!$H$36,'Flujo de Fondos'!$H$35)</f>
        <v/>
      </c>
      <c r="N151" s="56" t="n">
        <v>33.95</v>
      </c>
      <c r="O151" s="54">
        <f>myParidad('Flujo de Fondos'!$N$34,$A151,N151,'Flujo de Fondos'!$N$36,'Flujo de Fondos'!$N$35)</f>
        <v/>
      </c>
      <c r="P151" s="57">
        <f>C151-G151</f>
        <v/>
      </c>
      <c r="Q151" s="57">
        <f>E151-C151</f>
        <v/>
      </c>
      <c r="R151" s="57">
        <f>C151-M151</f>
        <v/>
      </c>
      <c r="S151" s="55">
        <f>C151-O151</f>
        <v/>
      </c>
      <c r="T151" s="57">
        <f>E151-O151</f>
        <v/>
      </c>
      <c r="U151" s="57">
        <f>G151-O151</f>
        <v/>
      </c>
      <c r="V151" s="57">
        <f>G151-K151</f>
        <v/>
      </c>
      <c r="W151" s="57">
        <f>C151-K151</f>
        <v/>
      </c>
      <c r="X151" s="67">
        <f>I151-G151</f>
        <v/>
      </c>
      <c r="Y151" s="75">
        <f>G151-M151</f>
        <v/>
      </c>
    </row>
    <row r="152">
      <c r="A152" s="52" t="n">
        <v>44272</v>
      </c>
      <c r="B152" s="53" t="n">
        <v>36.84</v>
      </c>
      <c r="C152" s="54">
        <f>myParidad('Flujo de Fondos'!$B$5,A152,B152,'Flujo de Fondos'!$B$7,'Flujo de Fondos'!$B$6)</f>
        <v/>
      </c>
      <c r="D152" s="53" t="n">
        <v>39.85</v>
      </c>
      <c r="E152" s="55">
        <f>myParidad('Flujo de Fondos'!$H$5,$A152,D152,'Flujo de Fondos'!$H$7,'Flujo de Fondos'!$H$6)</f>
        <v/>
      </c>
      <c r="F152" s="53" t="n">
        <v>35.8</v>
      </c>
      <c r="G152" s="54">
        <f>myParidad('Flujo de Fondos'!$N$5,$A152,F152,'Flujo de Fondos'!$N$7,'Flujo de Fondos'!$N$6)</f>
        <v/>
      </c>
      <c r="H152" s="56" t="n">
        <v>36.88</v>
      </c>
      <c r="I152" s="54">
        <f>myParidad('Flujo de Fondos'!$T$5,$A152,H152,'Flujo de Fondos'!$T$7,'Flujo de Fondos'!$T$6)</f>
        <v/>
      </c>
      <c r="J152" s="56" t="n">
        <v>31.66</v>
      </c>
      <c r="K152" s="54">
        <f>myParidad('Flujo de Fondos'!$B$34,$A152,J152,'Flujo de Fondos'!$B$36,'Flujo de Fondos'!$B$35)</f>
        <v/>
      </c>
      <c r="L152" s="53" t="n">
        <v>34.05</v>
      </c>
      <c r="M152" s="54">
        <f>myParidad('Flujo de Fondos'!$H$34,'Paridad usd'!$A152,'Paridad usd'!L152,'Flujo de Fondos'!$H$36,'Flujo de Fondos'!$H$35)</f>
        <v/>
      </c>
      <c r="N152" s="56" t="n">
        <v>33.75</v>
      </c>
      <c r="O152" s="54">
        <f>myParidad('Flujo de Fondos'!$N$34,$A152,N152,'Flujo de Fondos'!$N$36,'Flujo de Fondos'!$N$35)</f>
        <v/>
      </c>
      <c r="P152" s="57">
        <f>C152-G152</f>
        <v/>
      </c>
      <c r="Q152" s="57">
        <f>E152-C152</f>
        <v/>
      </c>
      <c r="R152" s="57">
        <f>C152-M152</f>
        <v/>
      </c>
      <c r="S152" s="55">
        <f>C152-O152</f>
        <v/>
      </c>
      <c r="T152" s="57">
        <f>E152-O152</f>
        <v/>
      </c>
      <c r="U152" s="57">
        <f>G152-O152</f>
        <v/>
      </c>
      <c r="V152" s="57">
        <f>G152-K152</f>
        <v/>
      </c>
      <c r="W152" s="57">
        <f>C152-K152</f>
        <v/>
      </c>
      <c r="X152" s="67">
        <f>I152-G152</f>
        <v/>
      </c>
      <c r="Y152" s="75">
        <f>G152-M152</f>
        <v/>
      </c>
    </row>
    <row r="153">
      <c r="A153" s="52" t="n">
        <v>44271</v>
      </c>
      <c r="B153" s="53" t="n">
        <v>36.65</v>
      </c>
      <c r="C153" s="54">
        <f>myParidad('Flujo de Fondos'!$B$5,A153,B153,'Flujo de Fondos'!$B$7,'Flujo de Fondos'!$B$6)</f>
        <v/>
      </c>
      <c r="D153" s="53" t="n">
        <v>39.99</v>
      </c>
      <c r="E153" s="55">
        <f>myParidad('Flujo de Fondos'!$H$5,$A153,D153,'Flujo de Fondos'!$H$7,'Flujo de Fondos'!$H$6)</f>
        <v/>
      </c>
      <c r="F153" s="53" t="n">
        <v>35.4</v>
      </c>
      <c r="G153" s="54">
        <f>myParidad('Flujo de Fondos'!$N$5,$A153,F153,'Flujo de Fondos'!$N$7,'Flujo de Fondos'!$N$6)</f>
        <v/>
      </c>
      <c r="H153" s="56" t="n">
        <v>36.3</v>
      </c>
      <c r="I153" s="54">
        <f>myParidad('Flujo de Fondos'!$T$5,$A153,H153,'Flujo de Fondos'!$T$7,'Flujo de Fondos'!$T$6)</f>
        <v/>
      </c>
      <c r="J153" s="56" t="n">
        <v>31.29</v>
      </c>
      <c r="K153" s="54">
        <f>myParidad('Flujo de Fondos'!$B$34,$A153,J153,'Flujo de Fondos'!$B$36,'Flujo de Fondos'!$B$35)</f>
        <v/>
      </c>
      <c r="L153" s="53" t="n">
        <v>34.25</v>
      </c>
      <c r="M153" s="54">
        <f>myParidad('Flujo de Fondos'!$H$34,'Paridad usd'!$A153,'Paridad usd'!L153,'Flujo de Fondos'!$H$36,'Flujo de Fondos'!$H$35)</f>
        <v/>
      </c>
      <c r="N153" s="56" t="n">
        <v>33.49</v>
      </c>
      <c r="O153" s="54">
        <f>myParidad('Flujo de Fondos'!$N$34,$A153,N153,'Flujo de Fondos'!$N$36,'Flujo de Fondos'!$N$35)</f>
        <v/>
      </c>
      <c r="P153" s="57">
        <f>C153-G153</f>
        <v/>
      </c>
      <c r="Q153" s="57">
        <f>E153-C153</f>
        <v/>
      </c>
      <c r="R153" s="57">
        <f>C153-M153</f>
        <v/>
      </c>
      <c r="S153" s="55">
        <f>C153-O153</f>
        <v/>
      </c>
      <c r="T153" s="57">
        <f>E153-O153</f>
        <v/>
      </c>
      <c r="U153" s="57">
        <f>G153-O153</f>
        <v/>
      </c>
      <c r="V153" s="57">
        <f>G153-K153</f>
        <v/>
      </c>
      <c r="W153" s="57">
        <f>C153-K153</f>
        <v/>
      </c>
      <c r="X153" s="67">
        <f>I153-G153</f>
        <v/>
      </c>
      <c r="Y153" s="75">
        <f>G153-M153</f>
        <v/>
      </c>
    </row>
    <row r="154">
      <c r="A154" s="52" t="n">
        <v>44270</v>
      </c>
      <c r="B154" s="53" t="n">
        <v>36.48</v>
      </c>
      <c r="C154" s="54">
        <f>myParidad('Flujo de Fondos'!$B$5,A154,B154,'Flujo de Fondos'!$B$7,'Flujo de Fondos'!$B$6)</f>
        <v/>
      </c>
      <c r="D154" s="53" t="n">
        <v>38.7</v>
      </c>
      <c r="E154" s="55">
        <f>myParidad('Flujo de Fondos'!$H$5,$A154,D154,'Flujo de Fondos'!$H$7,'Flujo de Fondos'!$H$6)</f>
        <v/>
      </c>
      <c r="F154" s="53" t="n">
        <v>34.96</v>
      </c>
      <c r="G154" s="54">
        <f>myParidad('Flujo de Fondos'!$N$5,$A154,F154,'Flujo de Fondos'!$N$7,'Flujo de Fondos'!$N$6)</f>
        <v/>
      </c>
      <c r="H154" s="56" t="n">
        <v>35.95</v>
      </c>
      <c r="I154" s="54">
        <f>myParidad('Flujo de Fondos'!$T$5,$A154,H154,'Flujo de Fondos'!$T$7,'Flujo de Fondos'!$T$6)</f>
        <v/>
      </c>
      <c r="J154" s="56" t="n">
        <v>30.95</v>
      </c>
      <c r="K154" s="54">
        <f>myParidad('Flujo de Fondos'!$B$34,$A154,J154,'Flujo de Fondos'!$B$36,'Flujo de Fondos'!$B$35)</f>
        <v/>
      </c>
      <c r="L154" s="53" t="n">
        <v>33.65</v>
      </c>
      <c r="M154" s="54">
        <f>myParidad('Flujo de Fondos'!$H$34,'Paridad usd'!$A154,'Paridad usd'!L154,'Flujo de Fondos'!$H$36,'Flujo de Fondos'!$H$35)</f>
        <v/>
      </c>
      <c r="N154" s="56" t="n">
        <v>33.45</v>
      </c>
      <c r="O154" s="54">
        <f>myParidad('Flujo de Fondos'!$N$34,$A154,N154,'Flujo de Fondos'!$N$36,'Flujo de Fondos'!$N$35)</f>
        <v/>
      </c>
      <c r="P154" s="57">
        <f>C154-G154</f>
        <v/>
      </c>
      <c r="Q154" s="57">
        <f>E154-C154</f>
        <v/>
      </c>
      <c r="R154" s="57">
        <f>C154-M154</f>
        <v/>
      </c>
      <c r="S154" s="55">
        <f>C154-O154</f>
        <v/>
      </c>
      <c r="T154" s="57">
        <f>E154-O154</f>
        <v/>
      </c>
      <c r="U154" s="57">
        <f>G154-O154</f>
        <v/>
      </c>
      <c r="V154" s="57">
        <f>G154-K154</f>
        <v/>
      </c>
      <c r="W154" s="57">
        <f>C154-K154</f>
        <v/>
      </c>
      <c r="X154" s="67">
        <f>I154-G154</f>
        <v/>
      </c>
      <c r="Y154" s="75">
        <f>G154-M154</f>
        <v/>
      </c>
    </row>
    <row r="155">
      <c r="A155" s="52" t="n">
        <v>44267</v>
      </c>
      <c r="B155" s="53" t="n">
        <v>35.51</v>
      </c>
      <c r="C155" s="54">
        <f>myParidad('Flujo de Fondos'!$B$5,A155,B155,'Flujo de Fondos'!$B$7,'Flujo de Fondos'!$B$6)</f>
        <v/>
      </c>
      <c r="D155" s="53" t="n">
        <v>37.8</v>
      </c>
      <c r="E155" s="55">
        <f>myParidad('Flujo de Fondos'!$H$5,$A155,D155,'Flujo de Fondos'!$H$7,'Flujo de Fondos'!$H$6)</f>
        <v/>
      </c>
      <c r="F155" s="53" t="n">
        <v>34.39</v>
      </c>
      <c r="G155" s="54">
        <f>myParidad('Flujo de Fondos'!$N$5,$A155,F155,'Flujo de Fondos'!$N$7,'Flujo de Fondos'!$N$6)</f>
        <v/>
      </c>
      <c r="H155" s="56" t="n">
        <v>35.31</v>
      </c>
      <c r="I155" s="54">
        <f>myParidad('Flujo de Fondos'!$T$5,$A155,H155,'Flujo de Fondos'!$T$7,'Flujo de Fondos'!$T$6)</f>
        <v/>
      </c>
      <c r="J155" s="56" t="n">
        <v>30.5</v>
      </c>
      <c r="K155" s="54">
        <f>myParidad('Flujo de Fondos'!$B$34,$A155,J155,'Flujo de Fondos'!$B$36,'Flujo de Fondos'!$B$35)</f>
        <v/>
      </c>
      <c r="L155" s="53" t="n">
        <v>32.75</v>
      </c>
      <c r="M155" s="54">
        <f>myParidad('Flujo de Fondos'!$H$34,'Paridad usd'!$A155,'Paridad usd'!L155,'Flujo de Fondos'!$H$36,'Flujo de Fondos'!$H$35)</f>
        <v/>
      </c>
      <c r="N155" s="56" t="n">
        <v>32.5</v>
      </c>
      <c r="O155" s="54">
        <f>myParidad('Flujo de Fondos'!$N$34,$A155,N155,'Flujo de Fondos'!$N$36,'Flujo de Fondos'!$N$35)</f>
        <v/>
      </c>
      <c r="P155" s="57">
        <f>C155-G155</f>
        <v/>
      </c>
      <c r="Q155" s="57">
        <f>E155-C155</f>
        <v/>
      </c>
      <c r="R155" s="57">
        <f>C155-M155</f>
        <v/>
      </c>
      <c r="S155" s="55">
        <f>C155-O155</f>
        <v/>
      </c>
      <c r="T155" s="57">
        <f>E155-O155</f>
        <v/>
      </c>
      <c r="U155" s="57">
        <f>G155-O155</f>
        <v/>
      </c>
      <c r="V155" s="57">
        <f>G155-K155</f>
        <v/>
      </c>
      <c r="W155" s="57">
        <f>C155-K155</f>
        <v/>
      </c>
      <c r="X155" s="67">
        <f>I155-G155</f>
        <v/>
      </c>
      <c r="Y155" s="75">
        <f>G155-M155</f>
        <v/>
      </c>
    </row>
    <row r="156">
      <c r="A156" s="52" t="n">
        <v>44266</v>
      </c>
      <c r="B156" s="53" t="n">
        <v>34.95</v>
      </c>
      <c r="C156" s="54">
        <f>myParidad('Flujo de Fondos'!$B$5,A156,B156,'Flujo de Fondos'!$B$7,'Flujo de Fondos'!$B$6)</f>
        <v/>
      </c>
      <c r="D156" s="53" t="n">
        <v>37.2</v>
      </c>
      <c r="E156" s="55">
        <f>myParidad('Flujo de Fondos'!$H$5,$A156,D156,'Flujo de Fondos'!$H$7,'Flujo de Fondos'!$H$6)</f>
        <v/>
      </c>
      <c r="F156" s="53" t="n">
        <v>33.51</v>
      </c>
      <c r="G156" s="54">
        <f>myParidad('Flujo de Fondos'!$N$5,$A156,F156,'Flujo de Fondos'!$N$7,'Flujo de Fondos'!$N$6)</f>
        <v/>
      </c>
      <c r="H156" s="56" t="n">
        <v>34.65</v>
      </c>
      <c r="I156" s="54">
        <f>myParidad('Flujo de Fondos'!$T$5,$A156,H156,'Flujo de Fondos'!$T$7,'Flujo de Fondos'!$T$6)</f>
        <v/>
      </c>
      <c r="J156" s="56" t="n">
        <v>30.26</v>
      </c>
      <c r="K156" s="54">
        <f>myParidad('Flujo de Fondos'!$B$34,$A156,J156,'Flujo de Fondos'!$B$36,'Flujo de Fondos'!$B$35)</f>
        <v/>
      </c>
      <c r="L156" s="53" t="n">
        <v>32.05</v>
      </c>
      <c r="M156" s="54">
        <f>myParidad('Flujo de Fondos'!$H$34,'Paridad usd'!$A156,'Paridad usd'!L156,'Flujo de Fondos'!$H$36,'Flujo de Fondos'!$H$35)</f>
        <v/>
      </c>
      <c r="N156" s="56" t="n">
        <v>31.5</v>
      </c>
      <c r="O156" s="54">
        <f>myParidad('Flujo de Fondos'!$N$34,$A156,N156,'Flujo de Fondos'!$N$36,'Flujo de Fondos'!$N$35)</f>
        <v/>
      </c>
      <c r="P156" s="57">
        <f>C156-G156</f>
        <v/>
      </c>
      <c r="Q156" s="57">
        <f>E156-C156</f>
        <v/>
      </c>
      <c r="R156" s="57">
        <f>C156-M156</f>
        <v/>
      </c>
      <c r="S156" s="55">
        <f>C156-O156</f>
        <v/>
      </c>
      <c r="T156" s="57">
        <f>E156-O156</f>
        <v/>
      </c>
      <c r="U156" s="57">
        <f>G156-O156</f>
        <v/>
      </c>
      <c r="V156" s="57">
        <f>G156-K156</f>
        <v/>
      </c>
      <c r="W156" s="57">
        <f>C156-K156</f>
        <v/>
      </c>
      <c r="X156" s="67">
        <f>I156-G156</f>
        <v/>
      </c>
      <c r="Y156" s="75">
        <f>G156-M156</f>
        <v/>
      </c>
    </row>
    <row r="157">
      <c r="A157" s="52" t="n">
        <v>44265</v>
      </c>
      <c r="B157" s="53" t="n">
        <v>35</v>
      </c>
      <c r="C157" s="54">
        <f>myParidad('Flujo de Fondos'!$B$5,A157,B157,'Flujo de Fondos'!$B$7,'Flujo de Fondos'!$B$6)</f>
        <v/>
      </c>
      <c r="D157" s="53" t="n">
        <v>37</v>
      </c>
      <c r="E157" s="55">
        <f>myParidad('Flujo de Fondos'!$H$5,$A157,D157,'Flujo de Fondos'!$H$7,'Flujo de Fondos'!$H$6)</f>
        <v/>
      </c>
      <c r="F157" s="53" t="n">
        <v>33.51</v>
      </c>
      <c r="G157" s="54">
        <f>myParidad('Flujo de Fondos'!$N$5,$A157,F157,'Flujo de Fondos'!$N$7,'Flujo de Fondos'!$N$6)</f>
        <v/>
      </c>
      <c r="H157" s="56" t="n">
        <v>34.39</v>
      </c>
      <c r="I157" s="54">
        <f>myParidad('Flujo de Fondos'!$T$5,$A157,H157,'Flujo de Fondos'!$T$7,'Flujo de Fondos'!$T$6)</f>
        <v/>
      </c>
      <c r="J157" s="56" t="n">
        <v>29.8</v>
      </c>
      <c r="K157" s="54">
        <f>myParidad('Flujo de Fondos'!$B$34,$A157,J157,'Flujo de Fondos'!$B$36,'Flujo de Fondos'!$B$35)</f>
        <v/>
      </c>
      <c r="L157" s="53" t="n">
        <v>32.1</v>
      </c>
      <c r="M157" s="54">
        <f>myParidad('Flujo de Fondos'!$H$34,'Paridad usd'!$A157,'Paridad usd'!L157,'Flujo de Fondos'!$H$36,'Flujo de Fondos'!$H$35)</f>
        <v/>
      </c>
      <c r="N157" s="56" t="n">
        <v>31.42</v>
      </c>
      <c r="O157" s="54">
        <f>myParidad('Flujo de Fondos'!$N$34,$A157,N157,'Flujo de Fondos'!$N$36,'Flujo de Fondos'!$N$35)</f>
        <v/>
      </c>
      <c r="P157" s="57">
        <f>C157-G157</f>
        <v/>
      </c>
      <c r="Q157" s="57">
        <f>E157-C157</f>
        <v/>
      </c>
      <c r="R157" s="57">
        <f>C157-M157</f>
        <v/>
      </c>
      <c r="S157" s="55">
        <f>C157-O157</f>
        <v/>
      </c>
      <c r="T157" s="57">
        <f>E157-O157</f>
        <v/>
      </c>
      <c r="U157" s="57">
        <f>G157-O157</f>
        <v/>
      </c>
      <c r="V157" s="57">
        <f>G157-K157</f>
        <v/>
      </c>
      <c r="W157" s="57">
        <f>C157-K157</f>
        <v/>
      </c>
      <c r="X157" s="67">
        <f>I157-G157</f>
        <v/>
      </c>
      <c r="Y157" s="75">
        <f>G157-M157</f>
        <v/>
      </c>
    </row>
    <row r="158">
      <c r="A158" s="52" t="n">
        <v>44264</v>
      </c>
      <c r="B158" s="53" t="n">
        <v>36.25</v>
      </c>
      <c r="C158" s="54">
        <f>myParidad('Flujo de Fondos'!$B$5,A158,B158,'Flujo de Fondos'!$B$7,'Flujo de Fondos'!$B$6)</f>
        <v/>
      </c>
      <c r="D158" s="53" t="n">
        <v>38.3</v>
      </c>
      <c r="E158" s="55">
        <f>myParidad('Flujo de Fondos'!$H$5,$A158,D158,'Flujo de Fondos'!$H$7,'Flujo de Fondos'!$H$6)</f>
        <v/>
      </c>
      <c r="F158" s="53" t="n">
        <v>35.14</v>
      </c>
      <c r="G158" s="54">
        <f>myParidad('Flujo de Fondos'!$N$5,$A158,F158,'Flujo de Fondos'!$N$7,'Flujo de Fondos'!$N$6)</f>
        <v/>
      </c>
      <c r="H158" s="56" t="n">
        <v>35.26</v>
      </c>
      <c r="I158" s="54">
        <f>myParidad('Flujo de Fondos'!$T$5,$A158,H158,'Flujo de Fondos'!$T$7,'Flujo de Fondos'!$T$6)</f>
        <v/>
      </c>
      <c r="J158" s="56" t="n">
        <v>30.52</v>
      </c>
      <c r="K158" s="54">
        <f>myParidad('Flujo de Fondos'!$B$34,$A158,J158,'Flujo de Fondos'!$B$36,'Flujo de Fondos'!$B$35)</f>
        <v/>
      </c>
      <c r="L158" s="53" t="n">
        <v>32.6</v>
      </c>
      <c r="M158" s="54">
        <f>myParidad('Flujo de Fondos'!$H$34,'Paridad usd'!$A158,'Paridad usd'!L158,'Flujo de Fondos'!$H$36,'Flujo de Fondos'!$H$35)</f>
        <v/>
      </c>
      <c r="N158" s="56" t="n">
        <v>31.98</v>
      </c>
      <c r="O158" s="54">
        <f>myParidad('Flujo de Fondos'!$N$34,$A158,N158,'Flujo de Fondos'!$N$36,'Flujo de Fondos'!$N$35)</f>
        <v/>
      </c>
      <c r="P158" s="57">
        <f>C158-G158</f>
        <v/>
      </c>
      <c r="Q158" s="57">
        <f>E158-C158</f>
        <v/>
      </c>
      <c r="R158" s="57">
        <f>C158-M158</f>
        <v/>
      </c>
      <c r="S158" s="55">
        <f>C158-O158</f>
        <v/>
      </c>
      <c r="T158" s="57">
        <f>E158-O158</f>
        <v/>
      </c>
      <c r="U158" s="57">
        <f>G158-O158</f>
        <v/>
      </c>
      <c r="V158" s="57">
        <f>G158-K158</f>
        <v/>
      </c>
      <c r="W158" s="57">
        <f>C158-K158</f>
        <v/>
      </c>
      <c r="X158" s="67">
        <f>I158-G158</f>
        <v/>
      </c>
      <c r="Y158" s="75">
        <f>G158-M158</f>
        <v/>
      </c>
    </row>
    <row r="159">
      <c r="A159" s="52" t="n">
        <v>44263</v>
      </c>
      <c r="B159" s="53" t="n">
        <v>36.89</v>
      </c>
      <c r="C159" s="54">
        <f>myParidad('Flujo de Fondos'!$B$5,A159,B159,'Flujo de Fondos'!$B$7,'Flujo de Fondos'!$B$6)</f>
        <v/>
      </c>
      <c r="D159" s="53" t="n">
        <v>39.8</v>
      </c>
      <c r="E159" s="55">
        <f>myParidad('Flujo de Fondos'!$H$5,$A159,D159,'Flujo de Fondos'!$H$7,'Flujo de Fondos'!$H$6)</f>
        <v/>
      </c>
      <c r="F159" s="53" t="n">
        <v>35.7</v>
      </c>
      <c r="G159" s="54">
        <f>myParidad('Flujo de Fondos'!$N$5,$A159,F159,'Flujo de Fondos'!$N$7,'Flujo de Fondos'!$N$6)</f>
        <v/>
      </c>
      <c r="H159" s="56" t="n">
        <v>36.08</v>
      </c>
      <c r="I159" s="54">
        <f>myParidad('Flujo de Fondos'!$T$5,$A159,H159,'Flujo de Fondos'!$T$7,'Flujo de Fondos'!$T$6)</f>
        <v/>
      </c>
      <c r="J159" s="56" t="n">
        <v>31.65</v>
      </c>
      <c r="K159" s="54">
        <f>myParidad('Flujo de Fondos'!$B$34,$A159,J159,'Flujo de Fondos'!$B$36,'Flujo de Fondos'!$B$35)</f>
        <v/>
      </c>
      <c r="L159" s="53" t="n">
        <v>33.05</v>
      </c>
      <c r="M159" s="54">
        <f>myParidad('Flujo de Fondos'!$H$34,'Paridad usd'!$A159,'Paridad usd'!L159,'Flujo de Fondos'!$H$36,'Flujo de Fondos'!$H$35)</f>
        <v/>
      </c>
      <c r="N159" s="56" t="n">
        <v>32</v>
      </c>
      <c r="O159" s="54">
        <f>myParidad('Flujo de Fondos'!$N$34,$A159,N159,'Flujo de Fondos'!$N$36,'Flujo de Fondos'!$N$35)</f>
        <v/>
      </c>
      <c r="P159" s="57">
        <f>C159-G159</f>
        <v/>
      </c>
      <c r="Q159" s="57">
        <f>E159-C159</f>
        <v/>
      </c>
      <c r="R159" s="57">
        <f>C159-M159</f>
        <v/>
      </c>
      <c r="S159" s="55">
        <f>C159-O159</f>
        <v/>
      </c>
      <c r="T159" s="57">
        <f>E159-O159</f>
        <v/>
      </c>
      <c r="U159" s="57">
        <f>G159-O159</f>
        <v/>
      </c>
      <c r="V159" s="57">
        <f>G159-K159</f>
        <v/>
      </c>
      <c r="W159" s="57">
        <f>C159-K159</f>
        <v/>
      </c>
      <c r="X159" s="67">
        <f>I159-G159</f>
        <v/>
      </c>
      <c r="Y159" s="75">
        <f>G159-M159</f>
        <v/>
      </c>
    </row>
    <row r="160">
      <c r="A160" s="52" t="n">
        <v>44260</v>
      </c>
      <c r="B160" s="53" t="n">
        <v>37.51</v>
      </c>
      <c r="C160" s="54">
        <f>myParidad('Flujo de Fondos'!$B$5,A160,B160,'Flujo de Fondos'!$B$7,'Flujo de Fondos'!$B$6)</f>
        <v/>
      </c>
      <c r="D160" s="53" t="n">
        <v>38.5</v>
      </c>
      <c r="E160" s="55">
        <f>myParidad('Flujo de Fondos'!$H$5,$A160,D160,'Flujo de Fondos'!$H$7,'Flujo de Fondos'!$H$6)</f>
        <v/>
      </c>
      <c r="F160" s="53" t="n">
        <v>35.75</v>
      </c>
      <c r="G160" s="54">
        <f>myParidad('Flujo de Fondos'!$N$5,$A160,F160,'Flujo de Fondos'!$N$7,'Flujo de Fondos'!$N$6)</f>
        <v/>
      </c>
      <c r="H160" s="56" t="n">
        <v>36.08</v>
      </c>
      <c r="I160" s="54">
        <f>myParidad('Flujo de Fondos'!$T$5,$A160,H160,'Flujo de Fondos'!$T$7,'Flujo de Fondos'!$T$6)</f>
        <v/>
      </c>
      <c r="J160" s="56" t="n">
        <v>31.65</v>
      </c>
      <c r="K160" s="54">
        <f>myParidad('Flujo de Fondos'!$B$34,$A160,J160,'Flujo de Fondos'!$B$36,'Flujo de Fondos'!$B$35)</f>
        <v/>
      </c>
      <c r="L160" s="53" t="n">
        <v>33.5</v>
      </c>
      <c r="M160" s="54">
        <f>myParidad('Flujo de Fondos'!$H$34,'Paridad usd'!$A160,'Paridad usd'!L160,'Flujo de Fondos'!$H$36,'Flujo de Fondos'!$H$35)</f>
        <v/>
      </c>
      <c r="N160" s="56" t="n">
        <v>32.26</v>
      </c>
      <c r="O160" s="54">
        <f>myParidad('Flujo de Fondos'!$N$34,$A160,N160,'Flujo de Fondos'!$N$36,'Flujo de Fondos'!$N$35)</f>
        <v/>
      </c>
      <c r="P160" s="57">
        <f>C160-G160</f>
        <v/>
      </c>
      <c r="Q160" s="57">
        <f>E160-C160</f>
        <v/>
      </c>
      <c r="R160" s="57">
        <f>C160-M160</f>
        <v/>
      </c>
      <c r="S160" s="55">
        <f>C160-O160</f>
        <v/>
      </c>
      <c r="T160" s="57">
        <f>E160-O160</f>
        <v/>
      </c>
      <c r="U160" s="57">
        <f>G160-O160</f>
        <v/>
      </c>
      <c r="V160" s="57">
        <f>G160-K160</f>
        <v/>
      </c>
      <c r="W160" s="57">
        <f>C160-K160</f>
        <v/>
      </c>
      <c r="X160" s="67">
        <f>I160-G160</f>
        <v/>
      </c>
      <c r="Y160" s="75">
        <f>G160-M160</f>
        <v/>
      </c>
    </row>
    <row r="161">
      <c r="A161" s="52" t="n">
        <v>44259</v>
      </c>
      <c r="B161" s="53" t="n">
        <v>37.8</v>
      </c>
      <c r="C161" s="54">
        <f>myParidad('Flujo de Fondos'!$B$5,A161,B161,'Flujo de Fondos'!$B$7,'Flujo de Fondos'!$B$6)</f>
        <v/>
      </c>
      <c r="D161" s="53" t="n">
        <v>40.4</v>
      </c>
      <c r="E161" s="55">
        <f>myParidad('Flujo de Fondos'!$H$5,$A161,D161,'Flujo de Fondos'!$H$7,'Flujo de Fondos'!$H$6)</f>
        <v/>
      </c>
      <c r="F161" s="53" t="n">
        <v>36.38</v>
      </c>
      <c r="G161" s="54">
        <f>myParidad('Flujo de Fondos'!$N$5,$A161,F161,'Flujo de Fondos'!$N$7,'Flujo de Fondos'!$N$6)</f>
        <v/>
      </c>
      <c r="H161" s="56" t="n">
        <v>36.98</v>
      </c>
      <c r="I161" s="54">
        <f>myParidad('Flujo de Fondos'!$T$5,$A161,H161,'Flujo de Fondos'!$T$7,'Flujo de Fondos'!$T$6)</f>
        <v/>
      </c>
      <c r="J161" s="56" t="n">
        <v>32.56</v>
      </c>
      <c r="K161" s="54">
        <f>myParidad('Flujo de Fondos'!$B$34,$A161,J161,'Flujo de Fondos'!$B$36,'Flujo de Fondos'!$B$35)</f>
        <v/>
      </c>
      <c r="L161" s="53" t="n">
        <v>33.8</v>
      </c>
      <c r="M161" s="54">
        <f>myParidad('Flujo de Fondos'!$H$34,'Paridad usd'!$A161,'Paridad usd'!L161,'Flujo de Fondos'!$H$36,'Flujo de Fondos'!$H$35)</f>
        <v/>
      </c>
      <c r="N161" s="56" t="n">
        <v>32.3</v>
      </c>
      <c r="O161" s="54">
        <f>myParidad('Flujo de Fondos'!$N$34,$A161,N161,'Flujo de Fondos'!$N$36,'Flujo de Fondos'!$N$35)</f>
        <v/>
      </c>
      <c r="P161" s="57">
        <f>C161-G161</f>
        <v/>
      </c>
      <c r="Q161" s="57">
        <f>E161-C161</f>
        <v/>
      </c>
      <c r="R161" s="57">
        <f>C161-M161</f>
        <v/>
      </c>
      <c r="S161" s="55">
        <f>C161-O161</f>
        <v/>
      </c>
      <c r="T161" s="57">
        <f>E161-O161</f>
        <v/>
      </c>
      <c r="U161" s="57">
        <f>G161-O161</f>
        <v/>
      </c>
      <c r="V161" s="57">
        <f>G161-K161</f>
        <v/>
      </c>
      <c r="W161" s="57">
        <f>C161-K161</f>
        <v/>
      </c>
      <c r="X161" s="67">
        <f>I161-G161</f>
        <v/>
      </c>
      <c r="Y161" s="75">
        <f>G161-M161</f>
        <v/>
      </c>
    </row>
    <row r="162">
      <c r="A162" s="52" t="n">
        <v>44258</v>
      </c>
      <c r="B162" s="53" t="n">
        <v>37.5</v>
      </c>
      <c r="C162" s="54">
        <f>myParidad('Flujo de Fondos'!$B$5,A162,B162,'Flujo de Fondos'!$B$7,'Flujo de Fondos'!$B$6)</f>
        <v/>
      </c>
      <c r="D162" s="53" t="n">
        <v>40.75</v>
      </c>
      <c r="E162" s="55">
        <f>myParidad('Flujo de Fondos'!$H$5,$A162,D162,'Flujo de Fondos'!$H$7,'Flujo de Fondos'!$H$6)</f>
        <v/>
      </c>
      <c r="F162" s="53" t="n">
        <v>36.22</v>
      </c>
      <c r="G162" s="54">
        <f>myParidad('Flujo de Fondos'!$N$5,$A162,F162,'Flujo de Fondos'!$N$7,'Flujo de Fondos'!$N$6)</f>
        <v/>
      </c>
      <c r="H162" s="56" t="n">
        <v>37</v>
      </c>
      <c r="I162" s="54">
        <f>myParidad('Flujo de Fondos'!$T$5,$A162,H162,'Flujo de Fondos'!$T$7,'Flujo de Fondos'!$T$6)</f>
        <v/>
      </c>
      <c r="J162" s="56" t="n">
        <v>31.85</v>
      </c>
      <c r="K162" s="54">
        <f>myParidad('Flujo de Fondos'!$B$34,$A162,J162,'Flujo de Fondos'!$B$36,'Flujo de Fondos'!$B$35)</f>
        <v/>
      </c>
      <c r="L162" s="53" t="n">
        <v>33.55</v>
      </c>
      <c r="M162" s="54">
        <f>myParidad('Flujo de Fondos'!$H$34,'Paridad usd'!$A162,'Paridad usd'!L162,'Flujo de Fondos'!$H$36,'Flujo de Fondos'!$H$35)</f>
        <v/>
      </c>
      <c r="N162" s="56" t="n">
        <v>32.04</v>
      </c>
      <c r="O162" s="54">
        <f>myParidad('Flujo de Fondos'!$N$34,$A162,N162,'Flujo de Fondos'!$N$36,'Flujo de Fondos'!$N$35)</f>
        <v/>
      </c>
      <c r="P162" s="57">
        <f>C162-G162</f>
        <v/>
      </c>
      <c r="Q162" s="57">
        <f>E162-C162</f>
        <v/>
      </c>
      <c r="R162" s="57">
        <f>C162-M162</f>
        <v/>
      </c>
      <c r="S162" s="55">
        <f>C162-O162</f>
        <v/>
      </c>
      <c r="T162" s="57">
        <f>E162-O162</f>
        <v/>
      </c>
      <c r="U162" s="57">
        <f>G162-O162</f>
        <v/>
      </c>
      <c r="V162" s="57">
        <f>G162-K162</f>
        <v/>
      </c>
      <c r="W162" s="57">
        <f>C162-K162</f>
        <v/>
      </c>
      <c r="X162" s="67">
        <f>I162-G162</f>
        <v/>
      </c>
      <c r="Y162" s="75">
        <f>G162-M162</f>
        <v/>
      </c>
    </row>
    <row r="163">
      <c r="A163" s="52" t="n">
        <v>44257</v>
      </c>
      <c r="B163" s="53" t="n">
        <v>37.69</v>
      </c>
      <c r="C163" s="54">
        <f>myParidad('Flujo de Fondos'!$B$5,A163,B163,'Flujo de Fondos'!$B$7,'Flujo de Fondos'!$B$6)</f>
        <v/>
      </c>
      <c r="D163" s="53" t="n">
        <v>41</v>
      </c>
      <c r="E163" s="55">
        <f>myParidad('Flujo de Fondos'!$H$5,$A163,D163,'Flujo de Fondos'!$H$7,'Flujo de Fondos'!$H$6)</f>
        <v/>
      </c>
      <c r="F163" s="53" t="n">
        <v>36.29</v>
      </c>
      <c r="G163" s="54">
        <f>myParidad('Flujo de Fondos'!$N$5,$A163,F163,'Flujo de Fondos'!$N$7,'Flujo de Fondos'!$N$6)</f>
        <v/>
      </c>
      <c r="H163" s="56" t="n">
        <v>36.96</v>
      </c>
      <c r="I163" s="54">
        <f>myParidad('Flujo de Fondos'!$T$5,$A163,H163,'Flujo de Fondos'!$T$7,'Flujo de Fondos'!$T$6)</f>
        <v/>
      </c>
      <c r="J163" s="56" t="n">
        <v>32.21</v>
      </c>
      <c r="K163" s="54">
        <f>myParidad('Flujo de Fondos'!$B$34,$A163,J163,'Flujo de Fondos'!$B$36,'Flujo de Fondos'!$B$35)</f>
        <v/>
      </c>
      <c r="L163" s="53" t="n">
        <v>34.45</v>
      </c>
      <c r="M163" s="54">
        <f>myParidad('Flujo de Fondos'!$H$34,'Paridad usd'!$A163,'Paridad usd'!L163,'Flujo de Fondos'!$H$36,'Flujo de Fondos'!$H$35)</f>
        <v/>
      </c>
      <c r="N163" s="56" t="n">
        <v>32.25</v>
      </c>
      <c r="O163" s="54">
        <f>myParidad('Flujo de Fondos'!$N$34,$A163,N163,'Flujo de Fondos'!$N$36,'Flujo de Fondos'!$N$35)</f>
        <v/>
      </c>
      <c r="P163" s="57">
        <f>C163-G163</f>
        <v/>
      </c>
      <c r="Q163" s="57">
        <f>E163-C163</f>
        <v/>
      </c>
      <c r="R163" s="57">
        <f>C163-M163</f>
        <v/>
      </c>
      <c r="S163" s="55">
        <f>C163-O163</f>
        <v/>
      </c>
      <c r="T163" s="57">
        <f>E163-O163</f>
        <v/>
      </c>
      <c r="U163" s="57">
        <f>G163-O163</f>
        <v/>
      </c>
      <c r="V163" s="57">
        <f>G163-K163</f>
        <v/>
      </c>
      <c r="W163" s="57">
        <f>C163-K163</f>
        <v/>
      </c>
      <c r="X163" s="67">
        <f>I163-G163</f>
        <v/>
      </c>
      <c r="Y163" s="75">
        <f>G163-M163</f>
        <v/>
      </c>
    </row>
    <row r="164">
      <c r="A164" s="52" t="n">
        <v>44256</v>
      </c>
      <c r="B164" s="53" t="n">
        <v>38.19</v>
      </c>
      <c r="C164" s="54">
        <f>myParidad('Flujo de Fondos'!$B$5,A164,B164,'Flujo de Fondos'!$B$7,'Flujo de Fondos'!$B$6)</f>
        <v/>
      </c>
      <c r="D164" s="53" t="n">
        <v>41.5</v>
      </c>
      <c r="E164" s="55">
        <f>myParidad('Flujo de Fondos'!$H$5,$A164,D164,'Flujo de Fondos'!$H$7,'Flujo de Fondos'!$H$6)</f>
        <v/>
      </c>
      <c r="F164" s="53" t="n">
        <v>36.78</v>
      </c>
      <c r="G164" s="54">
        <f>myParidad('Flujo de Fondos'!$N$5,$A164,F164,'Flujo de Fondos'!$N$7,'Flujo de Fondos'!$N$6)</f>
        <v/>
      </c>
      <c r="H164" s="56" t="n">
        <v>37.79</v>
      </c>
      <c r="I164" s="54">
        <f>myParidad('Flujo de Fondos'!$T$5,$A164,H164,'Flujo de Fondos'!$T$7,'Flujo de Fondos'!$T$6)</f>
        <v/>
      </c>
      <c r="J164" s="56" t="n">
        <v>33.01</v>
      </c>
      <c r="K164" s="54">
        <f>myParidad('Flujo de Fondos'!$B$34,$A164,J164,'Flujo de Fondos'!$B$36,'Flujo de Fondos'!$B$35)</f>
        <v/>
      </c>
      <c r="L164" s="53" t="n">
        <v>35.05</v>
      </c>
      <c r="M164" s="54">
        <f>myParidad('Flujo de Fondos'!$H$34,'Paridad usd'!$A164,'Paridad usd'!L164,'Flujo de Fondos'!$H$36,'Flujo de Fondos'!$H$35)</f>
        <v/>
      </c>
      <c r="N164" s="56" t="n">
        <v>33.2</v>
      </c>
      <c r="O164" s="54">
        <f>myParidad('Flujo de Fondos'!$N$34,$A164,N164,'Flujo de Fondos'!$N$36,'Flujo de Fondos'!$N$35)</f>
        <v/>
      </c>
      <c r="P164" s="57">
        <f>C164-G164</f>
        <v/>
      </c>
      <c r="Q164" s="57">
        <f>E164-C164</f>
        <v/>
      </c>
      <c r="R164" s="57">
        <f>C164-M164</f>
        <v/>
      </c>
      <c r="S164" s="55">
        <f>C164-O164</f>
        <v/>
      </c>
      <c r="T164" s="57">
        <f>E164-O164</f>
        <v/>
      </c>
      <c r="U164" s="57">
        <f>G164-O164</f>
        <v/>
      </c>
      <c r="V164" s="57">
        <f>G164-K164</f>
        <v/>
      </c>
      <c r="W164" s="57">
        <f>C164-K164</f>
        <v/>
      </c>
      <c r="X164" s="67">
        <f>I164-G164</f>
        <v/>
      </c>
      <c r="Y164" s="75">
        <f>G164-M164</f>
        <v/>
      </c>
    </row>
    <row r="165">
      <c r="A165" s="52" t="n">
        <v>44253</v>
      </c>
      <c r="B165" s="53" t="n">
        <v>38.05</v>
      </c>
      <c r="C165" s="54">
        <f>myParidad('Flujo de Fondos'!$B$5,A165,B165,'Flujo de Fondos'!$B$7,'Flujo de Fondos'!$B$6)</f>
        <v/>
      </c>
      <c r="D165" s="53" t="n">
        <v>41.5</v>
      </c>
      <c r="E165" s="55">
        <f>myParidad('Flujo de Fondos'!$H$5,$A165,D165,'Flujo de Fondos'!$H$7,'Flujo de Fondos'!$H$6)</f>
        <v/>
      </c>
      <c r="F165" s="53" t="n">
        <v>36.78</v>
      </c>
      <c r="G165" s="54">
        <f>myParidad('Flujo de Fondos'!$N$5,$A165,F165,'Flujo de Fondos'!$N$7,'Flujo de Fondos'!$N$6)</f>
        <v/>
      </c>
      <c r="H165" s="56" t="n">
        <v>37.63</v>
      </c>
      <c r="I165" s="54">
        <f>myParidad('Flujo de Fondos'!$T$5,$A165,H165,'Flujo de Fondos'!$T$7,'Flujo de Fondos'!$T$6)</f>
        <v/>
      </c>
      <c r="J165" s="56" t="n">
        <v>33</v>
      </c>
      <c r="K165" s="54">
        <f>myParidad('Flujo de Fondos'!$B$34,$A165,J165,'Flujo de Fondos'!$B$36,'Flujo de Fondos'!$B$35)</f>
        <v/>
      </c>
      <c r="L165" s="53" t="n">
        <v>34.85</v>
      </c>
      <c r="M165" s="54">
        <f>myParidad('Flujo de Fondos'!$H$34,'Paridad usd'!$A165,'Paridad usd'!L165,'Flujo de Fondos'!$H$36,'Flujo de Fondos'!$H$35)</f>
        <v/>
      </c>
      <c r="N165" s="56" t="n">
        <v>33.1</v>
      </c>
      <c r="O165" s="54">
        <f>myParidad('Flujo de Fondos'!$N$34,$A165,N165,'Flujo de Fondos'!$N$36,'Flujo de Fondos'!$N$35)</f>
        <v/>
      </c>
      <c r="P165" s="57">
        <f>C165-G165</f>
        <v/>
      </c>
      <c r="Q165" s="57">
        <f>E165-C165</f>
        <v/>
      </c>
      <c r="R165" s="57">
        <f>C165-M165</f>
        <v/>
      </c>
      <c r="S165" s="55">
        <f>C165-O165</f>
        <v/>
      </c>
      <c r="T165" s="57">
        <f>E165-O165</f>
        <v/>
      </c>
      <c r="U165" s="57">
        <f>G165-O165</f>
        <v/>
      </c>
      <c r="V165" s="57">
        <f>G165-K165</f>
        <v/>
      </c>
      <c r="W165" s="57">
        <f>C165-K165</f>
        <v/>
      </c>
      <c r="X165" s="67">
        <f>I165-G165</f>
        <v/>
      </c>
      <c r="Y165" s="75">
        <f>G165-M165</f>
        <v/>
      </c>
    </row>
    <row r="166">
      <c r="A166" s="52" t="n">
        <v>44252</v>
      </c>
      <c r="B166" s="53" t="n">
        <v>37.92</v>
      </c>
      <c r="C166" s="54">
        <f>myParidad('Flujo de Fondos'!$B$5,A166,B166,'Flujo de Fondos'!$B$7,'Flujo de Fondos'!$B$6)</f>
        <v/>
      </c>
      <c r="D166" s="53" t="n">
        <v>42</v>
      </c>
      <c r="E166" s="55">
        <f>myParidad('Flujo de Fondos'!$H$5,$A166,D166,'Flujo de Fondos'!$H$7,'Flujo de Fondos'!$H$6)</f>
        <v/>
      </c>
      <c r="F166" s="53" t="n">
        <v>36.47</v>
      </c>
      <c r="G166" s="54">
        <f>myParidad('Flujo de Fondos'!$N$5,$A166,F166,'Flujo de Fondos'!$N$7,'Flujo de Fondos'!$N$6)</f>
        <v/>
      </c>
      <c r="H166" s="56" t="n">
        <v>38.01</v>
      </c>
      <c r="I166" s="54">
        <f>myParidad('Flujo de Fondos'!$T$5,$A166,H166,'Flujo de Fondos'!$T$7,'Flujo de Fondos'!$T$6)</f>
        <v/>
      </c>
      <c r="J166" s="56" t="n">
        <v>32.9</v>
      </c>
      <c r="K166" s="54">
        <f>myParidad('Flujo de Fondos'!$B$34,$A166,J166,'Flujo de Fondos'!$B$36,'Flujo de Fondos'!$B$35)</f>
        <v/>
      </c>
      <c r="L166" s="53" t="n">
        <v>34.6</v>
      </c>
      <c r="M166" s="54">
        <f>myParidad('Flujo de Fondos'!$H$34,'Paridad usd'!$A166,'Paridad usd'!L166,'Flujo de Fondos'!$H$36,'Flujo de Fondos'!$H$35)</f>
        <v/>
      </c>
      <c r="N166" s="56" t="n">
        <v>33.2</v>
      </c>
      <c r="O166" s="54">
        <f>myParidad('Flujo de Fondos'!$N$34,$A166,N166,'Flujo de Fondos'!$N$36,'Flujo de Fondos'!$N$35)</f>
        <v/>
      </c>
      <c r="P166" s="57">
        <f>C166-G166</f>
        <v/>
      </c>
      <c r="Q166" s="57">
        <f>E166-C166</f>
        <v/>
      </c>
      <c r="R166" s="57">
        <f>C166-M166</f>
        <v/>
      </c>
      <c r="S166" s="55">
        <f>C166-O166</f>
        <v/>
      </c>
      <c r="T166" s="57">
        <f>E166-O166</f>
        <v/>
      </c>
      <c r="U166" s="57">
        <f>G166-O166</f>
        <v/>
      </c>
      <c r="V166" s="57">
        <f>G166-K166</f>
        <v/>
      </c>
      <c r="W166" s="57">
        <f>C166-K166</f>
        <v/>
      </c>
      <c r="X166" s="67">
        <f>I166-G166</f>
        <v/>
      </c>
      <c r="Y166" s="75">
        <f>G166-M166</f>
        <v/>
      </c>
    </row>
    <row r="167">
      <c r="A167" s="52" t="n">
        <v>44251</v>
      </c>
      <c r="B167" s="53" t="n">
        <v>37.9</v>
      </c>
      <c r="C167" s="54">
        <f>myParidad('Flujo de Fondos'!$B$5,A167,B167,'Flujo de Fondos'!$B$7,'Flujo de Fondos'!$B$6)</f>
        <v/>
      </c>
      <c r="D167" s="53" t="n">
        <v>41.5</v>
      </c>
      <c r="E167" s="55">
        <f>myParidad('Flujo de Fondos'!$H$5,$A167,D167,'Flujo de Fondos'!$H$7,'Flujo de Fondos'!$H$6)</f>
        <v/>
      </c>
      <c r="F167" s="53" t="n">
        <v>36.08</v>
      </c>
      <c r="G167" s="54">
        <f>myParidad('Flujo de Fondos'!$N$5,$A167,F167,'Flujo de Fondos'!$N$7,'Flujo de Fondos'!$N$6)</f>
        <v/>
      </c>
      <c r="H167" s="56" t="n">
        <v>38.11</v>
      </c>
      <c r="I167" s="54">
        <f>myParidad('Flujo de Fondos'!$T$5,$A167,H167,'Flujo de Fondos'!$T$7,'Flujo de Fondos'!$T$6)</f>
        <v/>
      </c>
      <c r="J167" s="56" t="n">
        <v>32.5</v>
      </c>
      <c r="K167" s="54">
        <f>myParidad('Flujo de Fondos'!$B$34,$A167,J167,'Flujo de Fondos'!$B$36,'Flujo de Fondos'!$B$35)</f>
        <v/>
      </c>
      <c r="L167" s="53" t="n">
        <v>34.3</v>
      </c>
      <c r="M167" s="54">
        <f>myParidad('Flujo de Fondos'!$H$34,'Paridad usd'!$A167,'Paridad usd'!L167,'Flujo de Fondos'!$H$36,'Flujo de Fondos'!$H$35)</f>
        <v/>
      </c>
      <c r="N167" s="56" t="n">
        <v>33.1</v>
      </c>
      <c r="O167" s="54">
        <f>myParidad('Flujo de Fondos'!$N$34,$A167,N167,'Flujo de Fondos'!$N$36,'Flujo de Fondos'!$N$35)</f>
        <v/>
      </c>
      <c r="P167" s="57">
        <f>C167-G167</f>
        <v/>
      </c>
      <c r="Q167" s="57">
        <f>E167-C167</f>
        <v/>
      </c>
      <c r="R167" s="57">
        <f>C167-M167</f>
        <v/>
      </c>
      <c r="S167" s="55">
        <f>C167-O167</f>
        <v/>
      </c>
      <c r="T167" s="57">
        <f>E167-O167</f>
        <v/>
      </c>
      <c r="U167" s="57">
        <f>G167-O167</f>
        <v/>
      </c>
      <c r="V167" s="57">
        <f>G167-K167</f>
        <v/>
      </c>
      <c r="W167" s="57">
        <f>C167-K167</f>
        <v/>
      </c>
      <c r="X167" s="67">
        <f>I167-G167</f>
        <v/>
      </c>
      <c r="Y167" s="75">
        <f>G167-M167</f>
        <v/>
      </c>
    </row>
    <row r="168">
      <c r="A168" s="52" t="n">
        <v>44250</v>
      </c>
      <c r="B168" s="53" t="n">
        <v>37.69</v>
      </c>
      <c r="C168" s="54">
        <f>myParidad('Flujo de Fondos'!$B$5,A168,B168,'Flujo de Fondos'!$B$7,'Flujo de Fondos'!$B$6)</f>
        <v/>
      </c>
      <c r="D168" s="53" t="n">
        <v>41.8</v>
      </c>
      <c r="E168" s="55">
        <f>myParidad('Flujo de Fondos'!$H$5,$A168,D168,'Flujo de Fondos'!$H$7,'Flujo de Fondos'!$H$6)</f>
        <v/>
      </c>
      <c r="F168" s="53" t="n">
        <v>35.75</v>
      </c>
      <c r="G168" s="54">
        <f>myParidad('Flujo de Fondos'!$N$5,$A168,F168,'Flujo de Fondos'!$N$7,'Flujo de Fondos'!$N$6)</f>
        <v/>
      </c>
      <c r="H168" s="56" t="n">
        <v>37.79</v>
      </c>
      <c r="I168" s="54">
        <f>myParidad('Flujo de Fondos'!$T$5,$A168,H168,'Flujo de Fondos'!$T$7,'Flujo de Fondos'!$T$6)</f>
        <v/>
      </c>
      <c r="J168" s="56" t="n">
        <v>32.11</v>
      </c>
      <c r="K168" s="54">
        <f>myParidad('Flujo de Fondos'!$B$34,$A168,J168,'Flujo de Fondos'!$B$36,'Flujo de Fondos'!$B$35)</f>
        <v/>
      </c>
      <c r="L168" s="53" t="n">
        <v>34.1</v>
      </c>
      <c r="M168" s="54">
        <f>myParidad('Flujo de Fondos'!$H$34,'Paridad usd'!$A168,'Paridad usd'!L168,'Flujo de Fondos'!$H$36,'Flujo de Fondos'!$H$35)</f>
        <v/>
      </c>
      <c r="N168" s="56" t="n">
        <v>32.74</v>
      </c>
      <c r="O168" s="54">
        <f>myParidad('Flujo de Fondos'!$N$34,$A168,N168,'Flujo de Fondos'!$N$36,'Flujo de Fondos'!$N$35)</f>
        <v/>
      </c>
      <c r="P168" s="57">
        <f>C168-G168</f>
        <v/>
      </c>
      <c r="Q168" s="57">
        <f>E168-C168</f>
        <v/>
      </c>
      <c r="R168" s="57">
        <f>C168-M168</f>
        <v/>
      </c>
      <c r="S168" s="55">
        <f>C168-O168</f>
        <v/>
      </c>
      <c r="T168" s="57">
        <f>E168-O168</f>
        <v/>
      </c>
      <c r="U168" s="57">
        <f>G168-O168</f>
        <v/>
      </c>
      <c r="V168" s="57">
        <f>G168-K168</f>
        <v/>
      </c>
      <c r="W168" s="57">
        <f>C168-K168</f>
        <v/>
      </c>
      <c r="X168" s="67">
        <f>I168-G168</f>
        <v/>
      </c>
      <c r="Y168" s="75">
        <f>G168-M168</f>
        <v/>
      </c>
    </row>
    <row r="169">
      <c r="A169" s="52" t="n">
        <v>44249</v>
      </c>
      <c r="B169" s="53" t="n">
        <v>38.25</v>
      </c>
      <c r="C169" s="54">
        <f>myParidad('Flujo de Fondos'!$B$5,A169,B169,'Flujo de Fondos'!$B$7,'Flujo de Fondos'!$B$6)</f>
        <v/>
      </c>
      <c r="D169" s="53" t="n">
        <v>42.4</v>
      </c>
      <c r="E169" s="55">
        <f>myParidad('Flujo de Fondos'!$H$5,$A169,D169,'Flujo de Fondos'!$H$7,'Flujo de Fondos'!$H$6)</f>
        <v/>
      </c>
      <c r="F169" s="53" t="n">
        <v>36.35</v>
      </c>
      <c r="G169" s="54">
        <f>myParidad('Flujo de Fondos'!$N$5,$A169,F169,'Flujo de Fondos'!$N$7,'Flujo de Fondos'!$N$6)</f>
        <v/>
      </c>
      <c r="H169" s="56" t="n">
        <v>38.42</v>
      </c>
      <c r="I169" s="54">
        <f>myParidad('Flujo de Fondos'!$T$5,$A169,H169,'Flujo de Fondos'!$T$7,'Flujo de Fondos'!$T$6)</f>
        <v/>
      </c>
      <c r="J169" s="56" t="n">
        <v>32.25</v>
      </c>
      <c r="K169" s="54">
        <f>myParidad('Flujo de Fondos'!$B$34,$A169,J169,'Flujo de Fondos'!$B$36,'Flujo de Fondos'!$B$35)</f>
        <v/>
      </c>
      <c r="L169" s="53" t="n">
        <v>34.4</v>
      </c>
      <c r="M169" s="54">
        <f>myParidad('Flujo de Fondos'!$H$34,'Paridad usd'!$A169,'Paridad usd'!L169,'Flujo de Fondos'!$H$36,'Flujo de Fondos'!$H$35)</f>
        <v/>
      </c>
      <c r="N169" s="56" t="n">
        <v>32.74</v>
      </c>
      <c r="O169" s="54">
        <f>myParidad('Flujo de Fondos'!$N$34,$A169,N169,'Flujo de Fondos'!$N$36,'Flujo de Fondos'!$N$35)</f>
        <v/>
      </c>
      <c r="P169" s="57">
        <f>C169-G169</f>
        <v/>
      </c>
      <c r="Q169" s="57">
        <f>E169-C169</f>
        <v/>
      </c>
      <c r="R169" s="57">
        <f>C169-M169</f>
        <v/>
      </c>
      <c r="S169" s="55">
        <f>C169-O169</f>
        <v/>
      </c>
      <c r="T169" s="57">
        <f>E169-O169</f>
        <v/>
      </c>
      <c r="U169" s="57">
        <f>G169-O169</f>
        <v/>
      </c>
      <c r="V169" s="57">
        <f>G169-K169</f>
        <v/>
      </c>
      <c r="W169" s="57">
        <f>C169-K169</f>
        <v/>
      </c>
      <c r="X169" s="67">
        <f>I169-G169</f>
        <v/>
      </c>
      <c r="Y169" s="75">
        <f>G169-M169</f>
        <v/>
      </c>
    </row>
    <row r="170">
      <c r="A170" s="52" t="n">
        <v>44246</v>
      </c>
      <c r="B170" s="53" t="n">
        <v>38.55</v>
      </c>
      <c r="C170" s="54">
        <f>myParidad('Flujo de Fondos'!$B$5,A170,B170,'Flujo de Fondos'!$B$7,'Flujo de Fondos'!$B$6)</f>
        <v/>
      </c>
      <c r="D170" s="53" t="n">
        <v>42.21</v>
      </c>
      <c r="E170" s="55">
        <f>myParidad('Flujo de Fondos'!$H$5,$A170,D170,'Flujo de Fondos'!$H$7,'Flujo de Fondos'!$H$6)</f>
        <v/>
      </c>
      <c r="F170" s="53" t="n">
        <v>36.19</v>
      </c>
      <c r="G170" s="54">
        <f>myParidad('Flujo de Fondos'!$N$5,$A170,F170,'Flujo de Fondos'!$N$7,'Flujo de Fondos'!$N$6)</f>
        <v/>
      </c>
      <c r="H170" s="56" t="n">
        <v>38.6</v>
      </c>
      <c r="I170" s="54">
        <f>myParidad('Flujo de Fondos'!$T$5,$A170,H170,'Flujo de Fondos'!$T$7,'Flujo de Fondos'!$T$6)</f>
        <v/>
      </c>
      <c r="J170" s="56" t="n">
        <v>32.5</v>
      </c>
      <c r="K170" s="54">
        <f>myParidad('Flujo de Fondos'!$B$34,$A170,J170,'Flujo de Fondos'!$B$36,'Flujo de Fondos'!$B$35)</f>
        <v/>
      </c>
      <c r="L170" s="53" t="n">
        <v>34.8</v>
      </c>
      <c r="M170" s="54">
        <f>myParidad('Flujo de Fondos'!$H$34,'Paridad usd'!$A170,'Paridad usd'!L170,'Flujo de Fondos'!$H$36,'Flujo de Fondos'!$H$35)</f>
        <v/>
      </c>
      <c r="N170" s="56" t="n">
        <v>33</v>
      </c>
      <c r="O170" s="54">
        <f>myParidad('Flujo de Fondos'!$N$34,$A170,N170,'Flujo de Fondos'!$N$36,'Flujo de Fondos'!$N$35)</f>
        <v/>
      </c>
      <c r="P170" s="57">
        <f>C170-G170</f>
        <v/>
      </c>
      <c r="Q170" s="57">
        <f>E170-C170</f>
        <v/>
      </c>
      <c r="R170" s="57">
        <f>C170-M170</f>
        <v/>
      </c>
      <c r="S170" s="55">
        <f>C170-O170</f>
        <v/>
      </c>
      <c r="T170" s="57">
        <f>E170-O170</f>
        <v/>
      </c>
      <c r="U170" s="57">
        <f>G170-O170</f>
        <v/>
      </c>
      <c r="V170" s="57">
        <f>G170-K170</f>
        <v/>
      </c>
      <c r="W170" s="57">
        <f>C170-K170</f>
        <v/>
      </c>
      <c r="X170" s="67">
        <f>I170-G170</f>
        <v/>
      </c>
      <c r="Y170" s="75">
        <f>G170-M170</f>
        <v/>
      </c>
    </row>
    <row r="171">
      <c r="A171" s="52" t="n">
        <v>44245</v>
      </c>
      <c r="B171" s="53" t="n">
        <v>38.95</v>
      </c>
      <c r="C171" s="54">
        <f>myParidad('Flujo de Fondos'!$B$5,A171,B171,'Flujo de Fondos'!$B$7,'Flujo de Fondos'!$B$6)</f>
        <v/>
      </c>
      <c r="D171" s="53" t="n">
        <v>42.2</v>
      </c>
      <c r="E171" s="55">
        <f>myParidad('Flujo de Fondos'!$H$5,$A171,D171,'Flujo de Fondos'!$H$7,'Flujo de Fondos'!$H$6)</f>
        <v/>
      </c>
      <c r="F171" s="53" t="n">
        <v>36.75</v>
      </c>
      <c r="G171" s="54">
        <f>myParidad('Flujo de Fondos'!$N$5,$A171,F171,'Flujo de Fondos'!$N$7,'Flujo de Fondos'!$N$6)</f>
        <v/>
      </c>
      <c r="H171" s="56" t="n">
        <v>39.05</v>
      </c>
      <c r="I171" s="54">
        <f>myParidad('Flujo de Fondos'!$T$5,$A171,H171,'Flujo de Fondos'!$T$7,'Flujo de Fondos'!$T$6)</f>
        <v/>
      </c>
      <c r="J171" s="56" t="n">
        <v>33.01</v>
      </c>
      <c r="K171" s="54">
        <f>myParidad('Flujo de Fondos'!$B$34,$A171,J171,'Flujo de Fondos'!$B$36,'Flujo de Fondos'!$B$35)</f>
        <v/>
      </c>
      <c r="L171" s="53" t="n">
        <v>34.78</v>
      </c>
      <c r="M171" s="54">
        <f>myParidad('Flujo de Fondos'!$H$34,'Paridad usd'!$A171,'Paridad usd'!L171,'Flujo de Fondos'!$H$36,'Flujo de Fondos'!$H$35)</f>
        <v/>
      </c>
      <c r="N171" s="56" t="n">
        <v>32.86</v>
      </c>
      <c r="O171" s="54">
        <f>myParidad('Flujo de Fondos'!$N$34,$A171,N171,'Flujo de Fondos'!$N$36,'Flujo de Fondos'!$N$35)</f>
        <v/>
      </c>
      <c r="P171" s="57">
        <f>C171-G171</f>
        <v/>
      </c>
      <c r="Q171" s="57">
        <f>E171-C171</f>
        <v/>
      </c>
      <c r="R171" s="57">
        <f>C171-M171</f>
        <v/>
      </c>
      <c r="S171" s="55">
        <f>C171-O171</f>
        <v/>
      </c>
      <c r="T171" s="57">
        <f>E171-O171</f>
        <v/>
      </c>
      <c r="U171" s="57">
        <f>G171-O171</f>
        <v/>
      </c>
      <c r="V171" s="57">
        <f>G171-K171</f>
        <v/>
      </c>
      <c r="W171" s="57">
        <f>C171-K171</f>
        <v/>
      </c>
      <c r="X171" s="67">
        <f>I171-G171</f>
        <v/>
      </c>
      <c r="Y171" s="75">
        <f>G171-M171</f>
        <v/>
      </c>
    </row>
    <row r="172">
      <c r="A172" s="52" t="n">
        <v>44244</v>
      </c>
      <c r="B172" s="53" t="n">
        <v>38.69</v>
      </c>
      <c r="C172" s="54">
        <f>myParidad('Flujo de Fondos'!$B$5,A172,B172,'Flujo de Fondos'!$B$7,'Flujo de Fondos'!$B$6)</f>
        <v/>
      </c>
      <c r="D172" s="53" t="n">
        <v>42.4</v>
      </c>
      <c r="E172" s="55">
        <f>myParidad('Flujo de Fondos'!$H$5,$A172,D172,'Flujo de Fondos'!$H$7,'Flujo de Fondos'!$H$6)</f>
        <v/>
      </c>
      <c r="F172" s="53" t="n">
        <v>36.14</v>
      </c>
      <c r="G172" s="54">
        <f>myParidad('Flujo de Fondos'!$N$5,$A172,F172,'Flujo de Fondos'!$N$7,'Flujo de Fondos'!$N$6)</f>
        <v/>
      </c>
      <c r="H172" s="56" t="n">
        <v>39.23</v>
      </c>
      <c r="I172" s="54">
        <f>myParidad('Flujo de Fondos'!$T$5,$A172,H172,'Flujo de Fondos'!$T$7,'Flujo de Fondos'!$T$6)</f>
        <v/>
      </c>
      <c r="J172" s="56" t="n">
        <v>32.9</v>
      </c>
      <c r="K172" s="54">
        <f>myParidad('Flujo de Fondos'!$B$34,$A172,J172,'Flujo de Fondos'!$B$36,'Flujo de Fondos'!$B$35)</f>
        <v/>
      </c>
      <c r="L172" s="53" t="n">
        <v>34.69</v>
      </c>
      <c r="M172" s="54">
        <f>myParidad('Flujo de Fondos'!$H$34,'Paridad usd'!$A172,'Paridad usd'!L172,'Flujo de Fondos'!$H$36,'Flujo de Fondos'!$H$35)</f>
        <v/>
      </c>
      <c r="N172" s="56" t="n">
        <v>32.85</v>
      </c>
      <c r="O172" s="54">
        <f>myParidad('Flujo de Fondos'!$N$34,$A172,N172,'Flujo de Fondos'!$N$36,'Flujo de Fondos'!$N$35)</f>
        <v/>
      </c>
      <c r="P172" s="57">
        <f>C172-G172</f>
        <v/>
      </c>
      <c r="Q172" s="57">
        <f>E172-C172</f>
        <v/>
      </c>
      <c r="R172" s="57">
        <f>C172-M172</f>
        <v/>
      </c>
      <c r="S172" s="55">
        <f>C172-O172</f>
        <v/>
      </c>
      <c r="T172" s="57">
        <f>E172-O172</f>
        <v/>
      </c>
      <c r="U172" s="57">
        <f>G172-O172</f>
        <v/>
      </c>
      <c r="V172" s="57">
        <f>G172-K172</f>
        <v/>
      </c>
      <c r="W172" s="57">
        <f>C172-K172</f>
        <v/>
      </c>
      <c r="X172" s="67">
        <f>I172-G172</f>
        <v/>
      </c>
      <c r="Y172" s="75">
        <f>G172-M172</f>
        <v/>
      </c>
    </row>
    <row r="173">
      <c r="A173" s="52" t="n">
        <v>44239</v>
      </c>
      <c r="B173" s="53" t="n">
        <v>39</v>
      </c>
      <c r="C173" s="54">
        <f>myParidad('Flujo de Fondos'!$B$5,A173,B173,'Flujo de Fondos'!$B$7,'Flujo de Fondos'!$B$6)</f>
        <v/>
      </c>
      <c r="D173" s="53" t="n">
        <v>43.2</v>
      </c>
      <c r="E173" s="55">
        <f>myParidad('Flujo de Fondos'!$H$5,$A173,D173,'Flujo de Fondos'!$H$7,'Flujo de Fondos'!$H$6)</f>
        <v/>
      </c>
      <c r="F173" s="53" t="n">
        <v>36.45</v>
      </c>
      <c r="G173" s="54">
        <f>myParidad('Flujo de Fondos'!$N$5,$A173,F173,'Flujo de Fondos'!$N$7,'Flujo de Fondos'!$N$6)</f>
        <v/>
      </c>
      <c r="H173" s="56" t="n">
        <v>39.8</v>
      </c>
      <c r="I173" s="54">
        <f>myParidad('Flujo de Fondos'!$T$5,$A173,H173,'Flujo de Fondos'!$T$7,'Flujo de Fondos'!$T$6)</f>
        <v/>
      </c>
      <c r="J173" s="56" t="n">
        <v>33.55</v>
      </c>
      <c r="K173" s="54">
        <f>myParidad('Flujo de Fondos'!$B$34,$A173,J173,'Flujo de Fondos'!$B$36,'Flujo de Fondos'!$B$35)</f>
        <v/>
      </c>
      <c r="L173" s="53" t="n">
        <v>35.3</v>
      </c>
      <c r="M173" s="54">
        <f>myParidad('Flujo de Fondos'!$H$34,'Paridad usd'!$A173,'Paridad usd'!L173,'Flujo de Fondos'!$H$36,'Flujo de Fondos'!$H$35)</f>
        <v/>
      </c>
      <c r="N173" s="56" t="n">
        <v>33.4</v>
      </c>
      <c r="O173" s="54">
        <f>myParidad('Flujo de Fondos'!$N$34,$A173,N173,'Flujo de Fondos'!$N$36,'Flujo de Fondos'!$N$35)</f>
        <v/>
      </c>
      <c r="P173" s="57">
        <f>C173-G173</f>
        <v/>
      </c>
      <c r="Q173" s="57">
        <f>E173-C173</f>
        <v/>
      </c>
      <c r="R173" s="57">
        <f>C173-M173</f>
        <v/>
      </c>
      <c r="S173" s="55">
        <f>C173-O173</f>
        <v/>
      </c>
      <c r="T173" s="57">
        <f>E173-O173</f>
        <v/>
      </c>
      <c r="U173" s="57">
        <f>G173-O173</f>
        <v/>
      </c>
      <c r="V173" s="57">
        <f>G173-K173</f>
        <v/>
      </c>
      <c r="W173" s="57">
        <f>C173-K173</f>
        <v/>
      </c>
      <c r="X173" s="67">
        <f>I173-G173</f>
        <v/>
      </c>
      <c r="Y173" s="75">
        <f>G173-M173</f>
        <v/>
      </c>
    </row>
    <row r="174">
      <c r="A174" s="52" t="n">
        <v>44238</v>
      </c>
      <c r="B174" s="53" t="n">
        <v>39.1</v>
      </c>
      <c r="C174" s="54">
        <f>myParidad('Flujo de Fondos'!$B$5,A174,B174,'Flujo de Fondos'!$B$7,'Flujo de Fondos'!$B$6)</f>
        <v/>
      </c>
      <c r="D174" s="53" t="n">
        <v>42.55</v>
      </c>
      <c r="E174" s="55">
        <f>myParidad('Flujo de Fondos'!$H$5,$A174,D174,'Flujo de Fondos'!$H$7,'Flujo de Fondos'!$H$6)</f>
        <v/>
      </c>
      <c r="F174" s="53" t="n">
        <v>37.01</v>
      </c>
      <c r="G174" s="54">
        <f>myParidad('Flujo de Fondos'!$N$5,$A174,F174,'Flujo de Fondos'!$N$7,'Flujo de Fondos'!$N$6)</f>
        <v/>
      </c>
      <c r="H174" s="56" t="n">
        <v>39.58</v>
      </c>
      <c r="I174" s="54">
        <f>myParidad('Flujo de Fondos'!$T$5,$A174,H174,'Flujo de Fondos'!$T$7,'Flujo de Fondos'!$T$6)</f>
        <v/>
      </c>
      <c r="J174" s="56" t="n">
        <v>33.8</v>
      </c>
      <c r="K174" s="54">
        <f>myParidad('Flujo de Fondos'!$B$34,$A174,J174,'Flujo de Fondos'!$B$36,'Flujo de Fondos'!$B$35)</f>
        <v/>
      </c>
      <c r="L174" s="53" t="n">
        <v>35.5</v>
      </c>
      <c r="M174" s="54">
        <f>myParidad('Flujo de Fondos'!$H$34,'Paridad usd'!$A174,'Paridad usd'!L174,'Flujo de Fondos'!$H$36,'Flujo de Fondos'!$H$35)</f>
        <v/>
      </c>
      <c r="N174" s="56" t="n">
        <v>33.51</v>
      </c>
      <c r="O174" s="54">
        <f>myParidad('Flujo de Fondos'!$N$34,$A174,N174,'Flujo de Fondos'!$N$36,'Flujo de Fondos'!$N$35)</f>
        <v/>
      </c>
      <c r="P174" s="57">
        <f>C174-G174</f>
        <v/>
      </c>
      <c r="Q174" s="57">
        <f>E174-C174</f>
        <v/>
      </c>
      <c r="R174" s="57">
        <f>C174-M174</f>
        <v/>
      </c>
      <c r="S174" s="55">
        <f>C174-O174</f>
        <v/>
      </c>
      <c r="T174" s="57">
        <f>E174-O174</f>
        <v/>
      </c>
      <c r="U174" s="57">
        <f>G174-O174</f>
        <v/>
      </c>
      <c r="V174" s="57">
        <f>G174-K174</f>
        <v/>
      </c>
      <c r="W174" s="57">
        <f>C174-K174</f>
        <v/>
      </c>
      <c r="X174" s="67">
        <f>I174-G174</f>
        <v/>
      </c>
      <c r="Y174" s="75">
        <f>G174-M174</f>
        <v/>
      </c>
    </row>
    <row r="175">
      <c r="A175" s="52" t="n">
        <v>44237</v>
      </c>
      <c r="B175" s="53" t="n">
        <v>39.41</v>
      </c>
      <c r="C175" s="54">
        <f>myParidad('Flujo de Fondos'!$B$5,A175,B175,'Flujo de Fondos'!$B$7,'Flujo de Fondos'!$B$6)</f>
        <v/>
      </c>
      <c r="D175" s="53" t="n">
        <v>42.8</v>
      </c>
      <c r="E175" s="55">
        <f>myParidad('Flujo de Fondos'!$H$5,$A175,D175,'Flujo de Fondos'!$H$7,'Flujo de Fondos'!$H$6)</f>
        <v/>
      </c>
      <c r="F175" s="53" t="n">
        <v>37.45</v>
      </c>
      <c r="G175" s="54">
        <f>myParidad('Flujo de Fondos'!$N$5,$A175,F175,'Flujo de Fondos'!$N$7,'Flujo de Fondos'!$N$6)</f>
        <v/>
      </c>
      <c r="H175" s="56" t="n">
        <v>39.66</v>
      </c>
      <c r="I175" s="54">
        <f>myParidad('Flujo de Fondos'!$T$5,$A175,H175,'Flujo de Fondos'!$T$7,'Flujo de Fondos'!$T$6)</f>
        <v/>
      </c>
      <c r="J175" s="56" t="n">
        <v>33.89</v>
      </c>
      <c r="K175" s="54">
        <f>myParidad('Flujo de Fondos'!$B$34,$A175,J175,'Flujo de Fondos'!$B$36,'Flujo de Fondos'!$B$35)</f>
        <v/>
      </c>
      <c r="L175" s="53" t="n">
        <v>35.5</v>
      </c>
      <c r="M175" s="54">
        <f>myParidad('Flujo de Fondos'!$H$34,'Paridad usd'!$A175,'Paridad usd'!L175,'Flujo de Fondos'!$H$36,'Flujo de Fondos'!$H$35)</f>
        <v/>
      </c>
      <c r="N175" s="56" t="n">
        <v>33.43</v>
      </c>
      <c r="O175" s="54">
        <f>myParidad('Flujo de Fondos'!$N$34,$A175,N175,'Flujo de Fondos'!$N$36,'Flujo de Fondos'!$N$35)</f>
        <v/>
      </c>
      <c r="P175" s="57">
        <f>C175-G175</f>
        <v/>
      </c>
      <c r="Q175" s="57">
        <f>E175-C175</f>
        <v/>
      </c>
      <c r="R175" s="57">
        <f>C175-M175</f>
        <v/>
      </c>
      <c r="S175" s="55">
        <f>C175-O175</f>
        <v/>
      </c>
      <c r="T175" s="57">
        <f>E175-O175</f>
        <v/>
      </c>
      <c r="U175" s="57">
        <f>G175-O175</f>
        <v/>
      </c>
      <c r="V175" s="57">
        <f>G175-K175</f>
        <v/>
      </c>
      <c r="W175" s="57">
        <f>C175-K175</f>
        <v/>
      </c>
      <c r="X175" s="67">
        <f>I175-G175</f>
        <v/>
      </c>
      <c r="Y175" s="75">
        <f>G175-M175</f>
        <v/>
      </c>
    </row>
    <row r="176">
      <c r="A176" s="52" t="n">
        <v>44236</v>
      </c>
      <c r="B176" s="53" t="n">
        <v>39.47</v>
      </c>
      <c r="C176" s="54">
        <f>myParidad('Flujo de Fondos'!$B$5,A176,B176,'Flujo de Fondos'!$B$7,'Flujo de Fondos'!$B$6)</f>
        <v/>
      </c>
      <c r="D176" s="53" t="n">
        <v>42.8</v>
      </c>
      <c r="E176" s="55">
        <f>myParidad('Flujo de Fondos'!$H$5,$A176,D176,'Flujo de Fondos'!$H$7,'Flujo de Fondos'!$H$6)</f>
        <v/>
      </c>
      <c r="F176" s="53" t="n">
        <v>37.52</v>
      </c>
      <c r="G176" s="54">
        <f>myParidad('Flujo de Fondos'!$N$5,$A176,F176,'Flujo de Fondos'!$N$7,'Flujo de Fondos'!$N$6)</f>
        <v/>
      </c>
      <c r="H176" s="56" t="n">
        <v>39.89</v>
      </c>
      <c r="I176" s="54">
        <f>myParidad('Flujo de Fondos'!$T$5,$A176,H176,'Flujo de Fondos'!$T$7,'Flujo de Fondos'!$T$6)</f>
        <v/>
      </c>
      <c r="J176" s="56" t="n">
        <v>33.81</v>
      </c>
      <c r="K176" s="54">
        <f>myParidad('Flujo de Fondos'!$B$34,$A176,J176,'Flujo de Fondos'!$B$36,'Flujo de Fondos'!$B$35)</f>
        <v/>
      </c>
      <c r="L176" s="53" t="n">
        <v>35.8</v>
      </c>
      <c r="M176" s="54">
        <f>myParidad('Flujo de Fondos'!$H$34,'Paridad usd'!$A176,'Paridad usd'!L176,'Flujo de Fondos'!$H$36,'Flujo de Fondos'!$H$35)</f>
        <v/>
      </c>
      <c r="N176" s="56" t="n">
        <v>33.68</v>
      </c>
      <c r="O176" s="54">
        <f>myParidad('Flujo de Fondos'!$N$34,$A176,N176,'Flujo de Fondos'!$N$36,'Flujo de Fondos'!$N$35)</f>
        <v/>
      </c>
      <c r="P176" s="57">
        <f>C176-G176</f>
        <v/>
      </c>
      <c r="Q176" s="57">
        <f>E176-C176</f>
        <v/>
      </c>
      <c r="R176" s="57">
        <f>C176-M176</f>
        <v/>
      </c>
      <c r="S176" s="55">
        <f>C176-O176</f>
        <v/>
      </c>
      <c r="T176" s="57">
        <f>E176-O176</f>
        <v/>
      </c>
      <c r="U176" s="57">
        <f>G176-O176</f>
        <v/>
      </c>
      <c r="V176" s="57">
        <f>G176-K176</f>
        <v/>
      </c>
      <c r="W176" s="57">
        <f>C176-K176</f>
        <v/>
      </c>
      <c r="X176" s="67">
        <f>I176-G176</f>
        <v/>
      </c>
      <c r="Y176" s="75">
        <f>G176-M176</f>
        <v/>
      </c>
    </row>
    <row r="177">
      <c r="A177" s="52" t="n">
        <v>44235</v>
      </c>
      <c r="B177" s="53" t="n">
        <v>39.55</v>
      </c>
      <c r="C177" s="54">
        <f>myParidad('Flujo de Fondos'!$B$5,A177,B177,'Flujo de Fondos'!$B$7,'Flujo de Fondos'!$B$6)</f>
        <v/>
      </c>
      <c r="D177" s="53" t="n">
        <v>43.12</v>
      </c>
      <c r="E177" s="55">
        <f>myParidad('Flujo de Fondos'!$H$5,$A177,D177,'Flujo de Fondos'!$H$7,'Flujo de Fondos'!$H$6)</f>
        <v/>
      </c>
      <c r="F177" s="53" t="n">
        <v>37.65</v>
      </c>
      <c r="G177" s="54">
        <f>myParidad('Flujo de Fondos'!$N$5,$A177,F177,'Flujo de Fondos'!$N$7,'Flujo de Fondos'!$N$6)</f>
        <v/>
      </c>
      <c r="H177" s="56" t="n">
        <v>39.98</v>
      </c>
      <c r="I177" s="54">
        <f>myParidad('Flujo de Fondos'!$T$5,$A177,H177,'Flujo de Fondos'!$T$7,'Flujo de Fondos'!$T$6)</f>
        <v/>
      </c>
      <c r="J177" s="56" t="n">
        <v>34.11</v>
      </c>
      <c r="K177" s="54">
        <f>myParidad('Flujo de Fondos'!$B$34,$A177,J177,'Flujo de Fondos'!$B$36,'Flujo de Fondos'!$B$35)</f>
        <v/>
      </c>
      <c r="L177" s="53" t="n">
        <v>36</v>
      </c>
      <c r="M177" s="54">
        <f>myParidad('Flujo de Fondos'!$H$34,'Paridad usd'!$A177,'Paridad usd'!L177,'Flujo de Fondos'!$H$36,'Flujo de Fondos'!$H$35)</f>
        <v/>
      </c>
      <c r="N177" s="56" t="n">
        <v>33.7</v>
      </c>
      <c r="O177" s="54">
        <f>myParidad('Flujo de Fondos'!$N$34,$A177,N177,'Flujo de Fondos'!$N$36,'Flujo de Fondos'!$N$35)</f>
        <v/>
      </c>
      <c r="P177" s="57">
        <f>C177-G177</f>
        <v/>
      </c>
      <c r="Q177" s="57">
        <f>E177-C177</f>
        <v/>
      </c>
      <c r="R177" s="57">
        <f>C177-M177</f>
        <v/>
      </c>
      <c r="S177" s="55">
        <f>C177-O177</f>
        <v/>
      </c>
      <c r="T177" s="57">
        <f>E177-O177</f>
        <v/>
      </c>
      <c r="U177" s="57">
        <f>G177-O177</f>
        <v/>
      </c>
      <c r="V177" s="57">
        <f>G177-K177</f>
        <v/>
      </c>
      <c r="W177" s="57">
        <f>C177-K177</f>
        <v/>
      </c>
      <c r="X177" s="67">
        <f>I177-G177</f>
        <v/>
      </c>
      <c r="Y177" s="75">
        <f>G177-M177</f>
        <v/>
      </c>
    </row>
    <row r="178">
      <c r="A178" s="52" t="n">
        <v>44232</v>
      </c>
      <c r="B178" s="53" t="n">
        <v>39.48</v>
      </c>
      <c r="C178" s="54">
        <f>myParidad('Flujo de Fondos'!$B$5,A178,B178,'Flujo de Fondos'!$B$7,'Flujo de Fondos'!$B$6)</f>
        <v/>
      </c>
      <c r="D178" s="53" t="n">
        <v>43.52</v>
      </c>
      <c r="E178" s="55">
        <f>myParidad('Flujo de Fondos'!$H$5,$A178,D178,'Flujo de Fondos'!$H$7,'Flujo de Fondos'!$H$6)</f>
        <v/>
      </c>
      <c r="F178" s="53" t="n">
        <v>37.62</v>
      </c>
      <c r="G178" s="54">
        <f>myParidad('Flujo de Fondos'!$N$5,$A178,F178,'Flujo de Fondos'!$N$7,'Flujo de Fondos'!$N$6)</f>
        <v/>
      </c>
      <c r="H178" s="56" t="n">
        <v>39.98</v>
      </c>
      <c r="I178" s="54">
        <f>myParidad('Flujo de Fondos'!$T$5,$A178,H178,'Flujo de Fondos'!$T$7,'Flujo de Fondos'!$T$6)</f>
        <v/>
      </c>
      <c r="J178" s="56" t="n">
        <v>34.11</v>
      </c>
      <c r="K178" s="54">
        <f>myParidad('Flujo de Fondos'!$B$34,$A178,J178,'Flujo de Fondos'!$B$36,'Flujo de Fondos'!$B$35)</f>
        <v/>
      </c>
      <c r="L178" s="53" t="n">
        <v>36</v>
      </c>
      <c r="M178" s="54">
        <f>myParidad('Flujo de Fondos'!$H$34,'Paridad usd'!$A178,'Paridad usd'!L178,'Flujo de Fondos'!$H$36,'Flujo de Fondos'!$H$35)</f>
        <v/>
      </c>
      <c r="N178" s="56" t="n">
        <v>33.75</v>
      </c>
      <c r="O178" s="54">
        <f>myParidad('Flujo de Fondos'!$N$34,$A178,N178,'Flujo de Fondos'!$N$36,'Flujo de Fondos'!$N$35)</f>
        <v/>
      </c>
      <c r="P178" s="57">
        <f>C178-G178</f>
        <v/>
      </c>
      <c r="Q178" s="57">
        <f>E178-C178</f>
        <v/>
      </c>
      <c r="R178" s="57">
        <f>C178-M178</f>
        <v/>
      </c>
      <c r="S178" s="55">
        <f>C178-O178</f>
        <v/>
      </c>
      <c r="T178" s="57">
        <f>E178-O178</f>
        <v/>
      </c>
      <c r="U178" s="57">
        <f>G178-O178</f>
        <v/>
      </c>
      <c r="V178" s="57">
        <f>G178-K178</f>
        <v/>
      </c>
      <c r="W178" s="57">
        <f>C178-K178</f>
        <v/>
      </c>
      <c r="X178" s="67">
        <f>I178-G178</f>
        <v/>
      </c>
      <c r="Y178" s="75">
        <f>G178-M178</f>
        <v/>
      </c>
    </row>
    <row r="179">
      <c r="A179" s="52" t="n">
        <v>44231</v>
      </c>
      <c r="B179" s="53" t="n">
        <v>39.48</v>
      </c>
      <c r="C179" s="54">
        <f>myParidad('Flujo de Fondos'!$B$5,A179,B179,'Flujo de Fondos'!$B$7,'Flujo de Fondos'!$B$6)</f>
        <v/>
      </c>
      <c r="D179" s="53" t="n">
        <v>42.75</v>
      </c>
      <c r="E179" s="55">
        <f>myParidad('Flujo de Fondos'!$H$5,$A179,D179,'Flujo de Fondos'!$H$7,'Flujo de Fondos'!$H$6)</f>
        <v/>
      </c>
      <c r="F179" s="53" t="n">
        <v>37.64</v>
      </c>
      <c r="G179" s="54">
        <f>myParidad('Flujo de Fondos'!$N$5,$A179,F179,'Flujo de Fondos'!$N$7,'Flujo de Fondos'!$N$6)</f>
        <v/>
      </c>
      <c r="H179" s="56" t="n">
        <v>39.72</v>
      </c>
      <c r="I179" s="54">
        <f>myParidad('Flujo de Fondos'!$T$5,$A179,H179,'Flujo de Fondos'!$T$7,'Flujo de Fondos'!$T$6)</f>
        <v/>
      </c>
      <c r="J179" s="56" t="n">
        <v>34.1</v>
      </c>
      <c r="K179" s="54">
        <f>myParidad('Flujo de Fondos'!$B$34,$A179,J179,'Flujo de Fondos'!$B$36,'Flujo de Fondos'!$B$35)</f>
        <v/>
      </c>
      <c r="L179" s="53" t="n">
        <v>36.28</v>
      </c>
      <c r="M179" s="54">
        <f>myParidad('Flujo de Fondos'!$H$34,'Paridad usd'!$A179,'Paridad usd'!L179,'Flujo de Fondos'!$H$36,'Flujo de Fondos'!$H$35)</f>
        <v/>
      </c>
      <c r="N179" s="56" t="n">
        <v>33.69</v>
      </c>
      <c r="O179" s="54">
        <f>myParidad('Flujo de Fondos'!$N$34,$A179,N179,'Flujo de Fondos'!$N$36,'Flujo de Fondos'!$N$35)</f>
        <v/>
      </c>
      <c r="P179" s="57">
        <f>C179-G179</f>
        <v/>
      </c>
      <c r="Q179" s="57">
        <f>E179-C179</f>
        <v/>
      </c>
      <c r="R179" s="57">
        <f>C179-M179</f>
        <v/>
      </c>
      <c r="S179" s="55">
        <f>C179-O179</f>
        <v/>
      </c>
      <c r="T179" s="57">
        <f>E179-O179</f>
        <v/>
      </c>
      <c r="U179" s="57">
        <f>G179-O179</f>
        <v/>
      </c>
      <c r="V179" s="57">
        <f>G179-K179</f>
        <v/>
      </c>
      <c r="W179" s="57">
        <f>C179-K179</f>
        <v/>
      </c>
      <c r="X179" s="67">
        <f>I179-G179</f>
        <v/>
      </c>
      <c r="Y179" s="75">
        <f>G179-M179</f>
        <v/>
      </c>
    </row>
    <row r="180">
      <c r="A180" s="52" t="n">
        <v>44230</v>
      </c>
      <c r="B180" s="53" t="n">
        <v>39.6</v>
      </c>
      <c r="C180" s="54">
        <f>myParidad('Flujo de Fondos'!$B$5,A180,B180,'Flujo de Fondos'!$B$7,'Flujo de Fondos'!$B$6)</f>
        <v/>
      </c>
      <c r="D180" s="53" t="n">
        <v>42.25</v>
      </c>
      <c r="E180" s="55">
        <f>myParidad('Flujo de Fondos'!$H$5,$A180,D180,'Flujo de Fondos'!$H$7,'Flujo de Fondos'!$H$6)</f>
        <v/>
      </c>
      <c r="F180" s="53" t="n">
        <v>37.78</v>
      </c>
      <c r="G180" s="54">
        <f>myParidad('Flujo de Fondos'!$N$5,$A180,F180,'Flujo de Fondos'!$N$7,'Flujo de Fondos'!$N$6)</f>
        <v/>
      </c>
      <c r="H180" s="56" t="n">
        <v>39.61</v>
      </c>
      <c r="I180" s="54">
        <f>myParidad('Flujo de Fondos'!$T$5,$A180,H180,'Flujo de Fondos'!$T$7,'Flujo de Fondos'!$T$6)</f>
        <v/>
      </c>
      <c r="J180" s="56" t="n">
        <v>33.9</v>
      </c>
      <c r="K180" s="54">
        <f>myParidad('Flujo de Fondos'!$B$34,$A180,J180,'Flujo de Fondos'!$B$36,'Flujo de Fondos'!$B$35)</f>
        <v/>
      </c>
      <c r="L180" s="53" t="n">
        <v>36.55</v>
      </c>
      <c r="M180" s="54">
        <f>myParidad('Flujo de Fondos'!$H$34,'Paridad usd'!$A180,'Paridad usd'!L180,'Flujo de Fondos'!$H$36,'Flujo de Fondos'!$H$35)</f>
        <v/>
      </c>
      <c r="N180" s="56" t="n">
        <v>33.35</v>
      </c>
      <c r="O180" s="54">
        <f>myParidad('Flujo de Fondos'!$N$34,$A180,N180,'Flujo de Fondos'!$N$36,'Flujo de Fondos'!$N$35)</f>
        <v/>
      </c>
      <c r="P180" s="57">
        <f>C180-G180</f>
        <v/>
      </c>
      <c r="Q180" s="57">
        <f>E180-C180</f>
        <v/>
      </c>
      <c r="R180" s="57">
        <f>C180-M180</f>
        <v/>
      </c>
      <c r="S180" s="55">
        <f>C180-O180</f>
        <v/>
      </c>
      <c r="T180" s="57">
        <f>E180-O180</f>
        <v/>
      </c>
      <c r="U180" s="57">
        <f>G180-O180</f>
        <v/>
      </c>
      <c r="V180" s="57">
        <f>G180-K180</f>
        <v/>
      </c>
      <c r="W180" s="57">
        <f>C180-K180</f>
        <v/>
      </c>
      <c r="X180" s="67">
        <f>I180-G180</f>
        <v/>
      </c>
      <c r="Y180" s="75">
        <f>G180-M180</f>
        <v/>
      </c>
    </row>
    <row r="181" ht="15.75" customHeight="1" s="76">
      <c r="A181" s="52" t="n">
        <v>44229</v>
      </c>
      <c r="B181" s="53" t="n">
        <v>39.85</v>
      </c>
      <c r="C181" s="54">
        <f>myParidad('Flujo de Fondos'!$B$5,A181,B181,'Flujo de Fondos'!$B$7,'Flujo de Fondos'!$B$6)</f>
        <v/>
      </c>
      <c r="D181" s="53" t="n">
        <v>42.75</v>
      </c>
      <c r="E181" s="55">
        <f>myParidad('Flujo de Fondos'!$H$5,$A181,D181,'Flujo de Fondos'!$H$7,'Flujo de Fondos'!$H$6)</f>
        <v/>
      </c>
      <c r="F181" s="53" t="n">
        <v>37.97</v>
      </c>
      <c r="G181" s="54">
        <f>myParidad('Flujo de Fondos'!$N$5,$A181,F181,'Flujo de Fondos'!$N$7,'Flujo de Fondos'!$N$6)</f>
        <v/>
      </c>
      <c r="H181" s="56" t="n">
        <v>39.94</v>
      </c>
      <c r="I181" s="54">
        <f>myParidad('Flujo de Fondos'!$T$5,$A181,H181,'Flujo de Fondos'!$T$7,'Flujo de Fondos'!$T$6)</f>
        <v/>
      </c>
      <c r="J181" s="56" t="n">
        <v>33.8</v>
      </c>
      <c r="K181" s="54">
        <f>myParidad('Flujo de Fondos'!$B$34,$A181,J181,'Flujo de Fondos'!$B$36,'Flujo de Fondos'!$B$35)</f>
        <v/>
      </c>
      <c r="L181" s="53" t="n">
        <v>36.65</v>
      </c>
      <c r="M181" s="54">
        <f>myParidad('Flujo de Fondos'!$H$34,'Paridad usd'!$A181,'Paridad usd'!L181,'Flujo de Fondos'!$H$36,'Flujo de Fondos'!$H$35)</f>
        <v/>
      </c>
      <c r="N181" s="56" t="n">
        <v>33.55</v>
      </c>
      <c r="O181" s="54">
        <f>myParidad('Flujo de Fondos'!$N$34,$A181,N181,'Flujo de Fondos'!$N$36,'Flujo de Fondos'!$N$35)</f>
        <v/>
      </c>
      <c r="P181" s="57">
        <f>C181-G181</f>
        <v/>
      </c>
      <c r="Q181" s="57">
        <f>E181-C181</f>
        <v/>
      </c>
      <c r="R181" s="57">
        <f>C181-M181</f>
        <v/>
      </c>
      <c r="S181" s="55">
        <f>C181-O181</f>
        <v/>
      </c>
      <c r="T181" s="57">
        <f>E181-O181</f>
        <v/>
      </c>
      <c r="U181" s="57">
        <f>G181-O181</f>
        <v/>
      </c>
      <c r="V181" s="57">
        <f>G181-K181</f>
        <v/>
      </c>
      <c r="W181" s="57">
        <f>C181-K181</f>
        <v/>
      </c>
      <c r="X181" s="67">
        <f>I181-G181</f>
        <v/>
      </c>
      <c r="Y181" s="75">
        <f>G181-M181</f>
        <v/>
      </c>
    </row>
    <row r="182" ht="15.75" customHeight="1" s="76">
      <c r="A182" s="52" t="n">
        <v>44228</v>
      </c>
      <c r="B182" s="53" t="n">
        <v>39.78</v>
      </c>
      <c r="C182" s="54">
        <f>myParidad('Flujo de Fondos'!$B$5,A182,B182,'Flujo de Fondos'!$B$7,'Flujo de Fondos'!$B$6)</f>
        <v/>
      </c>
      <c r="D182" s="53" t="n">
        <v>43</v>
      </c>
      <c r="E182" s="55">
        <f>myParidad('Flujo de Fondos'!$H$5,$A182,D182,'Flujo de Fondos'!$H$7,'Flujo de Fondos'!$H$6)</f>
        <v/>
      </c>
      <c r="F182" s="53" t="n">
        <v>38.09</v>
      </c>
      <c r="G182" s="54">
        <f>myParidad('Flujo de Fondos'!$N$5,$A182,F182,'Flujo de Fondos'!$N$7,'Flujo de Fondos'!$N$6)</f>
        <v/>
      </c>
      <c r="H182" s="56" t="n">
        <v>40.4</v>
      </c>
      <c r="I182" s="54">
        <f>myParidad('Flujo de Fondos'!$T$5,$A182,H182,'Flujo de Fondos'!$T$7,'Flujo de Fondos'!$T$6)</f>
        <v/>
      </c>
      <c r="J182" s="56" t="n">
        <v>33.8</v>
      </c>
      <c r="K182" s="54">
        <f>myParidad('Flujo de Fondos'!$B$34,$A182,J182,'Flujo de Fondos'!$B$36,'Flujo de Fondos'!$B$35)</f>
        <v/>
      </c>
      <c r="L182" s="53" t="n">
        <v>36.75</v>
      </c>
      <c r="M182" s="54">
        <f>myParidad('Flujo de Fondos'!$H$34,'Paridad usd'!$A182,'Paridad usd'!L182,'Flujo de Fondos'!$H$36,'Flujo de Fondos'!$H$35)</f>
        <v/>
      </c>
      <c r="N182" s="56" t="n">
        <v>33.6</v>
      </c>
      <c r="O182" s="54">
        <f>myParidad('Flujo de Fondos'!$N$34,$A182,N182,'Flujo de Fondos'!$N$36,'Flujo de Fondos'!$N$35)</f>
        <v/>
      </c>
      <c r="P182" s="57">
        <f>C182-G182</f>
        <v/>
      </c>
      <c r="Q182" s="57">
        <f>E182-C182</f>
        <v/>
      </c>
      <c r="R182" s="57">
        <f>C182-M182</f>
        <v/>
      </c>
      <c r="S182" s="55">
        <f>C182-O182</f>
        <v/>
      </c>
      <c r="T182" s="57">
        <f>E182-O182</f>
        <v/>
      </c>
      <c r="U182" s="57">
        <f>G182-O182</f>
        <v/>
      </c>
      <c r="V182" s="57">
        <f>G182-K182</f>
        <v/>
      </c>
      <c r="W182" s="57">
        <f>C182-K182</f>
        <v/>
      </c>
      <c r="X182" s="67">
        <f>I182-G182</f>
        <v/>
      </c>
      <c r="Y182" s="75">
        <f>G182-M182</f>
        <v/>
      </c>
    </row>
    <row r="183" ht="15.75" customHeight="1" s="76">
      <c r="A183" s="52" t="n">
        <v>44225</v>
      </c>
      <c r="B183" s="53" t="n">
        <v>39.55</v>
      </c>
      <c r="C183" s="54">
        <f>myParidad('Flujo de Fondos'!$B$5,A183,B183,'Flujo de Fondos'!$B$7,'Flujo de Fondos'!$B$6)</f>
        <v/>
      </c>
      <c r="D183" s="53" t="n">
        <v>43</v>
      </c>
      <c r="E183" s="55">
        <f>myParidad('Flujo de Fondos'!$H$5,$A183,D183,'Flujo de Fondos'!$H$7,'Flujo de Fondos'!$H$6)</f>
        <v/>
      </c>
      <c r="F183" s="53" t="n">
        <v>38.14</v>
      </c>
      <c r="G183" s="54">
        <f>myParidad('Flujo de Fondos'!$N$5,$A183,F183,'Flujo de Fondos'!$N$7,'Flujo de Fondos'!$N$6)</f>
        <v/>
      </c>
      <c r="H183" s="56" t="n">
        <v>40.04</v>
      </c>
      <c r="I183" s="54">
        <f>myParidad('Flujo de Fondos'!$T$5,$A183,H183,'Flujo de Fondos'!$T$7,'Flujo de Fondos'!$T$6)</f>
        <v/>
      </c>
      <c r="J183" s="56" t="n">
        <v>33.63</v>
      </c>
      <c r="K183" s="54">
        <f>myParidad('Flujo de Fondos'!$B$34,$A183,J183,'Flujo de Fondos'!$B$36,'Flujo de Fondos'!$B$35)</f>
        <v/>
      </c>
      <c r="L183" s="53" t="n">
        <v>36.7</v>
      </c>
      <c r="M183" s="54">
        <f>myParidad('Flujo de Fondos'!$H$34,'Paridad usd'!$A183,'Paridad usd'!L183,'Flujo de Fondos'!$H$36,'Flujo de Fondos'!$H$35)</f>
        <v/>
      </c>
      <c r="N183" s="56" t="n">
        <v>33.49</v>
      </c>
      <c r="O183" s="54">
        <f>myParidad('Flujo de Fondos'!$N$34,$A183,N183,'Flujo de Fondos'!$N$36,'Flujo de Fondos'!$N$35)</f>
        <v/>
      </c>
      <c r="P183" s="57">
        <f>C183-G183</f>
        <v/>
      </c>
      <c r="Q183" s="57">
        <f>E183-C183</f>
        <v/>
      </c>
      <c r="R183" s="57">
        <f>C183-M183</f>
        <v/>
      </c>
      <c r="S183" s="55">
        <f>C183-O183</f>
        <v/>
      </c>
      <c r="T183" s="57">
        <f>E183-O183</f>
        <v/>
      </c>
      <c r="U183" s="57">
        <f>G183-O183</f>
        <v/>
      </c>
      <c r="V183" s="57">
        <f>G183-K183</f>
        <v/>
      </c>
      <c r="W183" s="57">
        <f>C183-K183</f>
        <v/>
      </c>
      <c r="X183" s="67">
        <f>I183-G183</f>
        <v/>
      </c>
      <c r="Y183" s="75">
        <f>G183-M183</f>
        <v/>
      </c>
    </row>
    <row r="184" ht="15.75" customHeight="1" s="76">
      <c r="A184" s="52" t="n">
        <v>44224</v>
      </c>
      <c r="B184" s="53" t="n">
        <v>39.45</v>
      </c>
      <c r="C184" s="54">
        <f>myParidad('Flujo de Fondos'!$B$5,A184,B184,'Flujo de Fondos'!$B$7,'Flujo de Fondos'!$B$6)</f>
        <v/>
      </c>
      <c r="D184" s="53" t="n">
        <v>43</v>
      </c>
      <c r="E184" s="55">
        <f>myParidad('Flujo de Fondos'!$H$5,$A184,D184,'Flujo de Fondos'!$H$7,'Flujo de Fondos'!$H$6)</f>
        <v/>
      </c>
      <c r="F184" s="53" t="n">
        <v>38.27</v>
      </c>
      <c r="G184" s="54">
        <f>myParidad('Flujo de Fondos'!$N$5,$A184,F184,'Flujo de Fondos'!$N$7,'Flujo de Fondos'!$N$6)</f>
        <v/>
      </c>
      <c r="H184" s="56" t="n">
        <v>40.04</v>
      </c>
      <c r="I184" s="54">
        <f>myParidad('Flujo de Fondos'!$T$5,$A184,H184,'Flujo de Fondos'!$T$7,'Flujo de Fondos'!$T$6)</f>
        <v/>
      </c>
      <c r="J184" s="56" t="n">
        <v>33.9</v>
      </c>
      <c r="K184" s="54">
        <f>myParidad('Flujo de Fondos'!$B$34,$A184,J184,'Flujo de Fondos'!$B$36,'Flujo de Fondos'!$B$35)</f>
        <v/>
      </c>
      <c r="L184" s="53" t="n">
        <v>36.75</v>
      </c>
      <c r="M184" s="54">
        <f>myParidad('Flujo de Fondos'!$H$34,'Paridad usd'!$A184,'Paridad usd'!L184,'Flujo de Fondos'!$H$36,'Flujo de Fondos'!$H$35)</f>
        <v/>
      </c>
      <c r="N184" s="56" t="n">
        <v>33.7</v>
      </c>
      <c r="O184" s="54">
        <f>myParidad('Flujo de Fondos'!$N$34,$A184,N184,'Flujo de Fondos'!$N$36,'Flujo de Fondos'!$N$35)</f>
        <v/>
      </c>
      <c r="P184" s="57">
        <f>C184-G184</f>
        <v/>
      </c>
      <c r="Q184" s="57">
        <f>E184-C184</f>
        <v/>
      </c>
      <c r="R184" s="57">
        <f>C184-M184</f>
        <v/>
      </c>
      <c r="S184" s="55">
        <f>C184-O184</f>
        <v/>
      </c>
      <c r="T184" s="57">
        <f>E184-O184</f>
        <v/>
      </c>
      <c r="U184" s="57">
        <f>G184-O184</f>
        <v/>
      </c>
      <c r="V184" s="57">
        <f>G184-K184</f>
        <v/>
      </c>
      <c r="W184" s="57">
        <f>C184-K184</f>
        <v/>
      </c>
      <c r="X184" s="67">
        <f>I184-G184</f>
        <v/>
      </c>
      <c r="Y184" s="75">
        <f>G184-M184</f>
        <v/>
      </c>
    </row>
    <row r="185" ht="15.75" customHeight="1" s="76">
      <c r="A185" s="52" t="n">
        <v>44223</v>
      </c>
      <c r="B185" s="53" t="n">
        <v>39.84</v>
      </c>
      <c r="C185" s="54">
        <f>myParidad('Flujo de Fondos'!$B$5,A185,B185,'Flujo de Fondos'!$B$7,'Flujo de Fondos'!$B$6)</f>
        <v/>
      </c>
      <c r="D185" s="53" t="n">
        <v>43</v>
      </c>
      <c r="E185" s="55">
        <f>myParidad('Flujo de Fondos'!$H$5,$A185,D185,'Flujo de Fondos'!$H$7,'Flujo de Fondos'!$H$6)</f>
        <v/>
      </c>
      <c r="F185" s="53" t="n">
        <v>38.43</v>
      </c>
      <c r="G185" s="54">
        <f>myParidad('Flujo de Fondos'!$N$5,$A185,F185,'Flujo de Fondos'!$N$7,'Flujo de Fondos'!$N$6)</f>
        <v/>
      </c>
      <c r="H185" s="56" t="n">
        <v>40.3</v>
      </c>
      <c r="I185" s="54">
        <f>myParidad('Flujo de Fondos'!$T$5,$A185,H185,'Flujo de Fondos'!$T$7,'Flujo de Fondos'!$T$6)</f>
        <v/>
      </c>
      <c r="J185" s="56" t="n">
        <v>34</v>
      </c>
      <c r="K185" s="54">
        <f>myParidad('Flujo de Fondos'!$B$34,$A185,J185,'Flujo de Fondos'!$B$36,'Flujo de Fondos'!$B$35)</f>
        <v/>
      </c>
      <c r="L185" s="53" t="n">
        <v>36.67</v>
      </c>
      <c r="M185" s="54">
        <f>myParidad('Flujo de Fondos'!$H$34,'Paridad usd'!$A185,'Paridad usd'!L185,'Flujo de Fondos'!$H$36,'Flujo de Fondos'!$H$35)</f>
        <v/>
      </c>
      <c r="N185" s="56" t="n">
        <v>33.89</v>
      </c>
      <c r="O185" s="54">
        <f>myParidad('Flujo de Fondos'!$N$34,$A185,N185,'Flujo de Fondos'!$N$36,'Flujo de Fondos'!$N$35)</f>
        <v/>
      </c>
      <c r="P185" s="57">
        <f>C185-G185</f>
        <v/>
      </c>
      <c r="Q185" s="57">
        <f>E185-C185</f>
        <v/>
      </c>
      <c r="R185" s="57">
        <f>C185-M185</f>
        <v/>
      </c>
      <c r="S185" s="55">
        <f>C185-O185</f>
        <v/>
      </c>
      <c r="T185" s="57">
        <f>E185-O185</f>
        <v/>
      </c>
      <c r="U185" s="57">
        <f>G185-O185</f>
        <v/>
      </c>
      <c r="V185" s="57">
        <f>G185-K185</f>
        <v/>
      </c>
      <c r="W185" s="57">
        <f>C185-K185</f>
        <v/>
      </c>
      <c r="X185" s="67">
        <f>I185-G185</f>
        <v/>
      </c>
      <c r="Y185" s="75">
        <f>G185-M185</f>
        <v/>
      </c>
    </row>
    <row r="186" ht="15.75" customHeight="1" s="76">
      <c r="A186" s="52" t="n">
        <v>44222</v>
      </c>
      <c r="B186" s="53" t="n">
        <v>39.85</v>
      </c>
      <c r="C186" s="54">
        <f>myParidad('Flujo de Fondos'!$B$5,A186,B186,'Flujo de Fondos'!$B$7,'Flujo de Fondos'!$B$6)</f>
        <v/>
      </c>
      <c r="D186" s="53" t="n">
        <v>43.15</v>
      </c>
      <c r="E186" s="55">
        <f>myParidad('Flujo de Fondos'!$H$5,$A186,D186,'Flujo de Fondos'!$H$7,'Flujo de Fondos'!$H$6)</f>
        <v/>
      </c>
      <c r="F186" s="53" t="n">
        <v>38.58</v>
      </c>
      <c r="G186" s="54">
        <f>myParidad('Flujo de Fondos'!$N$5,$A186,F186,'Flujo de Fondos'!$N$7,'Flujo de Fondos'!$N$6)</f>
        <v/>
      </c>
      <c r="H186" s="56" t="n">
        <v>40.4</v>
      </c>
      <c r="I186" s="54">
        <f>myParidad('Flujo de Fondos'!$T$5,$A186,H186,'Flujo de Fondos'!$T$7,'Flujo de Fondos'!$T$6)</f>
        <v/>
      </c>
      <c r="J186" s="56" t="n">
        <v>34.05</v>
      </c>
      <c r="K186" s="54">
        <f>myParidad('Flujo de Fondos'!$B$34,$A186,J186,'Flujo de Fondos'!$B$36,'Flujo de Fondos'!$B$35)</f>
        <v/>
      </c>
      <c r="L186" s="53" t="n">
        <v>36.38</v>
      </c>
      <c r="M186" s="54">
        <f>myParidad('Flujo de Fondos'!$H$34,'Paridad usd'!$A186,'Paridad usd'!L186,'Flujo de Fondos'!$H$36,'Flujo de Fondos'!$H$35)</f>
        <v/>
      </c>
      <c r="N186" s="56" t="n">
        <v>33.6</v>
      </c>
      <c r="O186" s="54">
        <f>myParidad('Flujo de Fondos'!$N$34,$A186,N186,'Flujo de Fondos'!$N$36,'Flujo de Fondos'!$N$35)</f>
        <v/>
      </c>
      <c r="P186" s="57">
        <f>C186-G186</f>
        <v/>
      </c>
      <c r="Q186" s="57">
        <f>E186-C186</f>
        <v/>
      </c>
      <c r="R186" s="57">
        <f>C186-M186</f>
        <v/>
      </c>
      <c r="S186" s="55">
        <f>C186-O186</f>
        <v/>
      </c>
      <c r="T186" s="57">
        <f>E186-O186</f>
        <v/>
      </c>
      <c r="U186" s="57">
        <f>G186-O186</f>
        <v/>
      </c>
      <c r="V186" s="57">
        <f>G186-K186</f>
        <v/>
      </c>
      <c r="W186" s="57">
        <f>C186-K186</f>
        <v/>
      </c>
      <c r="X186" s="67">
        <f>I186-G186</f>
        <v/>
      </c>
      <c r="Y186" s="75">
        <f>G186-M186</f>
        <v/>
      </c>
    </row>
    <row r="187" ht="15.75" customHeight="1" s="76">
      <c r="A187" s="52" t="n">
        <v>44221</v>
      </c>
      <c r="B187" s="53" t="n">
        <v>39.89</v>
      </c>
      <c r="C187" s="54">
        <f>myParidad('Flujo de Fondos'!$B$5,A187,B187,'Flujo de Fondos'!$B$7,'Flujo de Fondos'!$B$6)</f>
        <v/>
      </c>
      <c r="D187" s="53" t="n">
        <v>43.37</v>
      </c>
      <c r="E187" s="55">
        <f>myParidad('Flujo de Fondos'!$H$5,$A187,D187,'Flujo de Fondos'!$H$7,'Flujo de Fondos'!$H$6)</f>
        <v/>
      </c>
      <c r="F187" s="53" t="n">
        <v>38.59</v>
      </c>
      <c r="G187" s="54">
        <f>myParidad('Flujo de Fondos'!$N$5,$A187,F187,'Flujo de Fondos'!$N$7,'Flujo de Fondos'!$N$6)</f>
        <v/>
      </c>
      <c r="H187" s="56" t="n">
        <v>40.4</v>
      </c>
      <c r="I187" s="54">
        <f>myParidad('Flujo de Fondos'!$T$5,$A187,H187,'Flujo de Fondos'!$T$7,'Flujo de Fondos'!$T$6)</f>
        <v/>
      </c>
      <c r="J187" s="56" t="n">
        <v>34.2</v>
      </c>
      <c r="K187" s="54">
        <f>myParidad('Flujo de Fondos'!$B$34,$A187,J187,'Flujo de Fondos'!$B$36,'Flujo de Fondos'!$B$35)</f>
        <v/>
      </c>
      <c r="L187" s="53" t="n">
        <v>36.5</v>
      </c>
      <c r="M187" s="54">
        <f>myParidad('Flujo de Fondos'!$H$34,'Paridad usd'!$A187,'Paridad usd'!L187,'Flujo de Fondos'!$H$36,'Flujo de Fondos'!$H$35)</f>
        <v/>
      </c>
      <c r="N187" s="56" t="n">
        <v>33.6</v>
      </c>
      <c r="O187" s="54">
        <f>myParidad('Flujo de Fondos'!$N$34,$A187,N187,'Flujo de Fondos'!$N$36,'Flujo de Fondos'!$N$35)</f>
        <v/>
      </c>
      <c r="P187" s="57">
        <f>C187-G187</f>
        <v/>
      </c>
      <c r="Q187" s="57">
        <f>E187-C187</f>
        <v/>
      </c>
      <c r="R187" s="57">
        <f>C187-M187</f>
        <v/>
      </c>
      <c r="S187" s="55">
        <f>C187-O187</f>
        <v/>
      </c>
      <c r="T187" s="57">
        <f>E187-O187</f>
        <v/>
      </c>
      <c r="U187" s="57">
        <f>G187-O187</f>
        <v/>
      </c>
      <c r="V187" s="57">
        <f>G187-K187</f>
        <v/>
      </c>
      <c r="W187" s="57">
        <f>C187-K187</f>
        <v/>
      </c>
      <c r="X187" s="67">
        <f>I187-G187</f>
        <v/>
      </c>
      <c r="Y187" s="75">
        <f>G187-M187</f>
        <v/>
      </c>
    </row>
    <row r="188" ht="15.75" customHeight="1" s="76">
      <c r="A188" s="52" t="n">
        <v>44218</v>
      </c>
      <c r="B188" s="53" t="n">
        <v>40</v>
      </c>
      <c r="C188" s="54">
        <f>myParidad('Flujo de Fondos'!$B$5,A188,B188,'Flujo de Fondos'!$B$7,'Flujo de Fondos'!$B$6)</f>
        <v/>
      </c>
      <c r="D188" s="53" t="n">
        <v>43.5</v>
      </c>
      <c r="E188" s="55">
        <f>myParidad('Flujo de Fondos'!$H$5,$A188,D188,'Flujo de Fondos'!$H$7,'Flujo de Fondos'!$H$6)</f>
        <v/>
      </c>
      <c r="F188" s="53" t="n">
        <v>38.69</v>
      </c>
      <c r="G188" s="54">
        <f>myParidad('Flujo de Fondos'!$N$5,$A188,F188,'Flujo de Fondos'!$N$7,'Flujo de Fondos'!$N$6)</f>
        <v/>
      </c>
      <c r="H188" s="56" t="n">
        <v>40.5</v>
      </c>
      <c r="I188" s="54">
        <f>myParidad('Flujo de Fondos'!$T$5,$A188,H188,'Flujo de Fondos'!$T$7,'Flujo de Fondos'!$T$6)</f>
        <v/>
      </c>
      <c r="J188" s="56" t="n">
        <v>34.04</v>
      </c>
      <c r="K188" s="54">
        <f>myParidad('Flujo de Fondos'!$B$34,$A188,J188,'Flujo de Fondos'!$B$36,'Flujo de Fondos'!$B$35)</f>
        <v/>
      </c>
      <c r="L188" s="53" t="n">
        <v>36.2</v>
      </c>
      <c r="M188" s="54">
        <f>myParidad('Flujo de Fondos'!$H$34,'Paridad usd'!$A188,'Paridad usd'!L188,'Flujo de Fondos'!$H$36,'Flujo de Fondos'!$H$35)</f>
        <v/>
      </c>
      <c r="N188" s="56" t="n">
        <v>33.7</v>
      </c>
      <c r="O188" s="54">
        <f>myParidad('Flujo de Fondos'!$N$34,$A188,N188,'Flujo de Fondos'!$N$36,'Flujo de Fondos'!$N$35)</f>
        <v/>
      </c>
      <c r="P188" s="57">
        <f>C188-G188</f>
        <v/>
      </c>
      <c r="Q188" s="57">
        <f>E188-C188</f>
        <v/>
      </c>
      <c r="R188" s="57">
        <f>C188-M188</f>
        <v/>
      </c>
      <c r="S188" s="55">
        <f>C188-O188</f>
        <v/>
      </c>
      <c r="T188" s="57">
        <f>E188-O188</f>
        <v/>
      </c>
      <c r="U188" s="57">
        <f>G188-O188</f>
        <v/>
      </c>
      <c r="V188" s="57">
        <f>G188-K188</f>
        <v/>
      </c>
      <c r="W188" s="57">
        <f>C188-K188</f>
        <v/>
      </c>
      <c r="X188" s="67">
        <f>I188-G188</f>
        <v/>
      </c>
      <c r="Y188" s="75">
        <f>G188-M188</f>
        <v/>
      </c>
    </row>
    <row r="189" ht="15.75" customHeight="1" s="76">
      <c r="A189" s="52" t="n">
        <v>44217</v>
      </c>
      <c r="B189" s="53" t="n">
        <v>39.9</v>
      </c>
      <c r="C189" s="54">
        <f>myParidad('Flujo de Fondos'!$B$5,A189,B189,'Flujo de Fondos'!$B$7,'Flujo de Fondos'!$B$6)</f>
        <v/>
      </c>
      <c r="D189" s="53" t="n">
        <v>43.05</v>
      </c>
      <c r="E189" s="55">
        <f>myParidad('Flujo de Fondos'!$H$5,$A189,D189,'Flujo de Fondos'!$H$7,'Flujo de Fondos'!$H$6)</f>
        <v/>
      </c>
      <c r="F189" s="53" t="n">
        <v>38.69</v>
      </c>
      <c r="G189" s="54">
        <f>myParidad('Flujo de Fondos'!$N$5,$A189,F189,'Flujo de Fondos'!$N$7,'Flujo de Fondos'!$N$6)</f>
        <v/>
      </c>
      <c r="H189" s="56" t="n">
        <v>39.9</v>
      </c>
      <c r="I189" s="54">
        <f>myParidad('Flujo de Fondos'!$T$5,$A189,H189,'Flujo de Fondos'!$T$7,'Flujo de Fondos'!$T$6)</f>
        <v/>
      </c>
      <c r="J189" s="56" t="n">
        <v>33.7</v>
      </c>
      <c r="K189" s="54">
        <f>myParidad('Flujo de Fondos'!$B$34,$A189,J189,'Flujo de Fondos'!$B$36,'Flujo de Fondos'!$B$35)</f>
        <v/>
      </c>
      <c r="L189" s="53" t="n">
        <v>36.01</v>
      </c>
      <c r="M189" s="54">
        <f>myParidad('Flujo de Fondos'!$H$34,'Paridad usd'!$A189,'Paridad usd'!L189,'Flujo de Fondos'!$H$36,'Flujo de Fondos'!$H$35)</f>
        <v/>
      </c>
      <c r="N189" s="56" t="n">
        <v>33.4</v>
      </c>
      <c r="O189" s="54">
        <f>myParidad('Flujo de Fondos'!$N$34,$A189,N189,'Flujo de Fondos'!$N$36,'Flujo de Fondos'!$N$35)</f>
        <v/>
      </c>
      <c r="P189" s="57">
        <f>C189-G189</f>
        <v/>
      </c>
      <c r="Q189" s="57">
        <f>E189-C189</f>
        <v/>
      </c>
      <c r="R189" s="57">
        <f>C189-M189</f>
        <v/>
      </c>
      <c r="S189" s="55">
        <f>C189-O189</f>
        <v/>
      </c>
      <c r="T189" s="57">
        <f>E189-O189</f>
        <v/>
      </c>
      <c r="U189" s="57">
        <f>G189-O189</f>
        <v/>
      </c>
      <c r="V189" s="57">
        <f>G189-K189</f>
        <v/>
      </c>
      <c r="W189" s="57">
        <f>C189-K189</f>
        <v/>
      </c>
      <c r="X189" s="67">
        <f>I189-G189</f>
        <v/>
      </c>
      <c r="Y189" s="75">
        <f>G189-M189</f>
        <v/>
      </c>
    </row>
    <row r="190" ht="15.75" customHeight="1" s="76">
      <c r="A190" s="52" t="n">
        <v>44216</v>
      </c>
      <c r="B190" s="53" t="n">
        <v>39.97</v>
      </c>
      <c r="C190" s="54">
        <f>myParidad('Flujo de Fondos'!$B$5,A190,B190,'Flujo de Fondos'!$B$7,'Flujo de Fondos'!$B$6)</f>
        <v/>
      </c>
      <c r="D190" s="53" t="n">
        <v>42.87</v>
      </c>
      <c r="E190" s="55">
        <f>myParidad('Flujo de Fondos'!$H$5,$A190,D190,'Flujo de Fondos'!$H$7,'Flujo de Fondos'!$H$6)</f>
        <v/>
      </c>
      <c r="F190" s="53" t="n">
        <v>38.74</v>
      </c>
      <c r="G190" s="54">
        <f>myParidad('Flujo de Fondos'!$N$5,$A190,F190,'Flujo de Fondos'!$N$7,'Flujo de Fondos'!$N$6)</f>
        <v/>
      </c>
      <c r="H190" s="56" t="n">
        <v>40.12</v>
      </c>
      <c r="I190" s="54">
        <f>myParidad('Flujo de Fondos'!$T$5,$A190,H190,'Flujo de Fondos'!$T$7,'Flujo de Fondos'!$T$6)</f>
        <v/>
      </c>
      <c r="J190" s="56" t="n">
        <v>34.1</v>
      </c>
      <c r="K190" s="54">
        <f>myParidad('Flujo de Fondos'!$B$34,$A190,J190,'Flujo de Fondos'!$B$36,'Flujo de Fondos'!$B$35)</f>
        <v/>
      </c>
      <c r="L190" s="53" t="n">
        <v>36.36</v>
      </c>
      <c r="M190" s="54">
        <f>myParidad('Flujo de Fondos'!$H$34,'Paridad usd'!$A190,'Paridad usd'!L190,'Flujo de Fondos'!$H$36,'Flujo de Fondos'!$H$35)</f>
        <v/>
      </c>
      <c r="N190" s="56" t="n">
        <v>33.87</v>
      </c>
      <c r="O190" s="54">
        <f>myParidad('Flujo de Fondos'!$N$34,$A190,N190,'Flujo de Fondos'!$N$36,'Flujo de Fondos'!$N$35)</f>
        <v/>
      </c>
      <c r="P190" s="57">
        <f>C190-G190</f>
        <v/>
      </c>
      <c r="Q190" s="57">
        <f>E190-C190</f>
        <v/>
      </c>
      <c r="R190" s="57">
        <f>C190-M190</f>
        <v/>
      </c>
      <c r="S190" s="55">
        <f>C190-O190</f>
        <v/>
      </c>
      <c r="T190" s="57">
        <f>E190-O190</f>
        <v/>
      </c>
      <c r="U190" s="57">
        <f>G190-O190</f>
        <v/>
      </c>
      <c r="V190" s="57">
        <f>G190-K190</f>
        <v/>
      </c>
      <c r="W190" s="57">
        <f>C190-K190</f>
        <v/>
      </c>
      <c r="X190" s="67">
        <f>I190-G190</f>
        <v/>
      </c>
      <c r="Y190" s="75">
        <f>G190-M190</f>
        <v/>
      </c>
    </row>
    <row r="191" ht="15.75" customHeight="1" s="76">
      <c r="A191" s="52" t="n">
        <v>44215</v>
      </c>
      <c r="B191" s="53" t="n">
        <v>40.2</v>
      </c>
      <c r="C191" s="54">
        <f>myParidad('Flujo de Fondos'!$B$5,A191,B191,'Flujo de Fondos'!$B$7,'Flujo de Fondos'!$B$6)</f>
        <v/>
      </c>
      <c r="D191" s="53" t="n">
        <v>43.1</v>
      </c>
      <c r="E191" s="55">
        <f>myParidad('Flujo de Fondos'!$H$5,$A191,D191,'Flujo de Fondos'!$H$7,'Flujo de Fondos'!$H$6)</f>
        <v/>
      </c>
      <c r="F191" s="53" t="n">
        <v>38.79</v>
      </c>
      <c r="G191" s="54">
        <f>myParidad('Flujo de Fondos'!$N$5,$A191,F191,'Flujo de Fondos'!$N$7,'Flujo de Fondos'!$N$6)</f>
        <v/>
      </c>
      <c r="H191" s="56" t="n">
        <v>39.95</v>
      </c>
      <c r="I191" s="54">
        <f>myParidad('Flujo de Fondos'!$T$5,$A191,H191,'Flujo de Fondos'!$T$7,'Flujo de Fondos'!$T$6)</f>
        <v/>
      </c>
      <c r="J191" s="56" t="n">
        <v>34.4</v>
      </c>
      <c r="K191" s="54">
        <f>myParidad('Flujo de Fondos'!$B$34,$A191,J191,'Flujo de Fondos'!$B$36,'Flujo de Fondos'!$B$35)</f>
        <v/>
      </c>
      <c r="L191" s="53" t="n">
        <v>35.85</v>
      </c>
      <c r="M191" s="54">
        <f>myParidad('Flujo de Fondos'!$H$34,'Paridad usd'!$A191,'Paridad usd'!L191,'Flujo de Fondos'!$H$36,'Flujo de Fondos'!$H$35)</f>
        <v/>
      </c>
      <c r="N191" s="56" t="n">
        <v>33.85</v>
      </c>
      <c r="O191" s="54">
        <f>myParidad('Flujo de Fondos'!$N$34,$A191,N191,'Flujo de Fondos'!$N$36,'Flujo de Fondos'!$N$35)</f>
        <v/>
      </c>
      <c r="P191" s="57">
        <f>C191-G191</f>
        <v/>
      </c>
      <c r="Q191" s="57">
        <f>E191-C191</f>
        <v/>
      </c>
      <c r="R191" s="57">
        <f>C191-M191</f>
        <v/>
      </c>
      <c r="S191" s="55">
        <f>C191-O191</f>
        <v/>
      </c>
      <c r="T191" s="57">
        <f>E191-O191</f>
        <v/>
      </c>
      <c r="U191" s="57">
        <f>G191-O191</f>
        <v/>
      </c>
      <c r="V191" s="57">
        <f>G191-K191</f>
        <v/>
      </c>
      <c r="W191" s="57">
        <f>C191-K191</f>
        <v/>
      </c>
      <c r="X191" s="67">
        <f>I191-G191</f>
        <v/>
      </c>
      <c r="Y191" s="75">
        <f>G191-M191</f>
        <v/>
      </c>
    </row>
    <row r="192" ht="15.75" customHeight="1" s="76">
      <c r="A192" s="52" t="n">
        <v>44214</v>
      </c>
      <c r="B192" s="53" t="n">
        <v>40.1</v>
      </c>
      <c r="C192" s="54">
        <f>myParidad('Flujo de Fondos'!$B$5,A192,B192,'Flujo de Fondos'!$B$7,'Flujo de Fondos'!$B$6)</f>
        <v/>
      </c>
      <c r="D192" s="53" t="n">
        <v>42</v>
      </c>
      <c r="E192" s="55">
        <f>myParidad('Flujo de Fondos'!$H$5,$A192,D192,'Flujo de Fondos'!$H$7,'Flujo de Fondos'!$H$6)</f>
        <v/>
      </c>
      <c r="F192" s="53" t="n">
        <v>38.8</v>
      </c>
      <c r="G192" s="54">
        <f>myParidad('Flujo de Fondos'!$N$5,$A192,F192,'Flujo de Fondos'!$N$7,'Flujo de Fondos'!$N$6)</f>
        <v/>
      </c>
      <c r="H192" s="53" t="n">
        <v>39.68</v>
      </c>
      <c r="I192" s="54">
        <f>myParidad('Flujo de Fondos'!$T$5,$A192,H192,'Flujo de Fondos'!$T$7,'Flujo de Fondos'!$T$6)</f>
        <v/>
      </c>
      <c r="J192" s="53" t="n">
        <v>34.25</v>
      </c>
      <c r="K192" s="54">
        <f>myParidad('Flujo de Fondos'!$B$34,$A192,J192,'Flujo de Fondos'!$B$36,'Flujo de Fondos'!$B$35)</f>
        <v/>
      </c>
      <c r="L192" s="53" t="n">
        <v>35.8</v>
      </c>
      <c r="M192" s="54">
        <f>myParidad('Flujo de Fondos'!$H$34,'Paridad usd'!$A192,'Paridad usd'!L192,'Flujo de Fondos'!$H$36,'Flujo de Fondos'!$H$35)</f>
        <v/>
      </c>
      <c r="N192" s="56" t="n">
        <v>33.8</v>
      </c>
      <c r="O192" s="54">
        <f>myParidad('Flujo de Fondos'!$N$34,$A192,N192,'Flujo de Fondos'!$N$36,'Flujo de Fondos'!$N$35)</f>
        <v/>
      </c>
      <c r="P192" s="57">
        <f>C192-G192</f>
        <v/>
      </c>
      <c r="Q192" s="57">
        <f>E192-C192</f>
        <v/>
      </c>
      <c r="R192" s="57">
        <f>C192-M192</f>
        <v/>
      </c>
      <c r="S192" s="55">
        <f>C192-O192</f>
        <v/>
      </c>
      <c r="T192" s="57">
        <f>E192-O192</f>
        <v/>
      </c>
      <c r="U192" s="57">
        <f>G192-O192</f>
        <v/>
      </c>
      <c r="V192" s="57">
        <f>G192-K192</f>
        <v/>
      </c>
      <c r="W192" s="57">
        <f>C192-K192</f>
        <v/>
      </c>
      <c r="X192" s="67">
        <f>I192-G192</f>
        <v/>
      </c>
      <c r="Y192" s="75">
        <f>G192-M192</f>
        <v/>
      </c>
    </row>
    <row r="193" ht="15.75" customHeight="1" s="76">
      <c r="A193" s="52" t="n">
        <v>44211</v>
      </c>
      <c r="B193" s="53" t="n">
        <v>40.08</v>
      </c>
      <c r="C193" s="54">
        <f>myParidad('Flujo de Fondos'!$B$5,A193,B193,'Flujo de Fondos'!$B$7,'Flujo de Fondos'!$B$6)</f>
        <v/>
      </c>
      <c r="D193" s="53" t="n">
        <v>42</v>
      </c>
      <c r="E193" s="55">
        <f>myParidad('Flujo de Fondos'!$H$5,$A193,D193,'Flujo de Fondos'!$H$7,'Flujo de Fondos'!$H$6)</f>
        <v/>
      </c>
      <c r="F193" s="53" t="n">
        <v>38.69</v>
      </c>
      <c r="G193" s="54">
        <f>myParidad('Flujo de Fondos'!$N$5,$A193,F193,'Flujo de Fondos'!$N$7,'Flujo de Fondos'!$N$6)</f>
        <v/>
      </c>
      <c r="H193" s="53" t="n">
        <v>39.09</v>
      </c>
      <c r="I193" s="54">
        <f>myParidad('Flujo de Fondos'!$T$5,$A193,H193,'Flujo de Fondos'!$T$7,'Flujo de Fondos'!$T$6)</f>
        <v/>
      </c>
      <c r="J193" s="53" t="n">
        <v>34.25</v>
      </c>
      <c r="K193" s="54">
        <f>myParidad('Flujo de Fondos'!$B$34,$A193,J193,'Flujo de Fondos'!$B$36,'Flujo de Fondos'!$B$35)</f>
        <v/>
      </c>
      <c r="L193" s="53" t="n">
        <v>35.7</v>
      </c>
      <c r="M193" s="54">
        <f>myParidad('Flujo de Fondos'!$H$34,'Paridad usd'!$A193,'Paridad usd'!L193,'Flujo de Fondos'!$H$36,'Flujo de Fondos'!$H$35)</f>
        <v/>
      </c>
      <c r="N193" s="56" t="n">
        <v>33.65</v>
      </c>
      <c r="O193" s="54">
        <f>myParidad('Flujo de Fondos'!$N$34,$A193,N193,'Flujo de Fondos'!$N$36,'Flujo de Fondos'!$N$35)</f>
        <v/>
      </c>
      <c r="P193" s="57">
        <f>C193-G193</f>
        <v/>
      </c>
      <c r="Q193" s="57">
        <f>E193-C193</f>
        <v/>
      </c>
      <c r="R193" s="57">
        <f>C193-M193</f>
        <v/>
      </c>
      <c r="S193" s="55">
        <f>C193-O193</f>
        <v/>
      </c>
      <c r="T193" s="57">
        <f>E193-O193</f>
        <v/>
      </c>
      <c r="U193" s="57">
        <f>G193-O193</f>
        <v/>
      </c>
      <c r="V193" s="57">
        <f>G193-K193</f>
        <v/>
      </c>
      <c r="W193" s="57">
        <f>C193-K193</f>
        <v/>
      </c>
      <c r="X193" s="67">
        <f>I193-G193</f>
        <v/>
      </c>
      <c r="Y193" s="75">
        <f>G193-M193</f>
        <v/>
      </c>
    </row>
    <row r="194" ht="15.75" customHeight="1" s="76">
      <c r="A194" s="52" t="n">
        <v>44210</v>
      </c>
      <c r="B194" s="53" t="n">
        <v>40.23</v>
      </c>
      <c r="C194" s="54">
        <f>myParidad('Flujo de Fondos'!$B$5,A194,B194,'Flujo de Fondos'!$B$7,'Flujo de Fondos'!$B$6)</f>
        <v/>
      </c>
      <c r="D194" s="53" t="n">
        <v>41.66</v>
      </c>
      <c r="E194" s="55">
        <f>myParidad('Flujo de Fondos'!$H$5,$A194,D194,'Flujo de Fondos'!$H$7,'Flujo de Fondos'!$H$6)</f>
        <v/>
      </c>
      <c r="F194" s="53" t="n">
        <v>38.75</v>
      </c>
      <c r="G194" s="54">
        <f>myParidad('Flujo de Fondos'!$N$5,$A194,F194,'Flujo de Fondos'!$N$7,'Flujo de Fondos'!$N$6)</f>
        <v/>
      </c>
      <c r="H194" s="53" t="n">
        <v>39</v>
      </c>
      <c r="I194" s="54">
        <f>myParidad('Flujo de Fondos'!$T$5,$A194,H194,'Flujo de Fondos'!$T$7,'Flujo de Fondos'!$T$6)</f>
        <v/>
      </c>
      <c r="J194" s="53" t="n">
        <v>34.39</v>
      </c>
      <c r="K194" s="54">
        <f>myParidad('Flujo de Fondos'!$B$34,$A194,J194,'Flujo de Fondos'!$B$36,'Flujo de Fondos'!$B$35)</f>
        <v/>
      </c>
      <c r="L194" s="53" t="n">
        <v>35.69</v>
      </c>
      <c r="M194" s="54">
        <f>myParidad('Flujo de Fondos'!$H$34,'Paridad usd'!$A194,'Paridad usd'!L194,'Flujo de Fondos'!$H$36,'Flujo de Fondos'!$H$35)</f>
        <v/>
      </c>
      <c r="N194" s="56" t="n">
        <v>33.8</v>
      </c>
      <c r="O194" s="54">
        <f>myParidad('Flujo de Fondos'!$N$34,$A194,N194,'Flujo de Fondos'!$N$36,'Flujo de Fondos'!$N$35)</f>
        <v/>
      </c>
      <c r="P194" s="57">
        <f>C194-G194</f>
        <v/>
      </c>
      <c r="Q194" s="57">
        <f>E194-C194</f>
        <v/>
      </c>
      <c r="R194" s="57">
        <f>C194-M194</f>
        <v/>
      </c>
      <c r="S194" s="55">
        <f>C194-O194</f>
        <v/>
      </c>
      <c r="T194" s="57">
        <f>E194-O194</f>
        <v/>
      </c>
      <c r="U194" s="57">
        <f>G194-O194</f>
        <v/>
      </c>
      <c r="V194" s="57">
        <f>G194-K194</f>
        <v/>
      </c>
      <c r="W194" s="57">
        <f>C194-K194</f>
        <v/>
      </c>
      <c r="X194" s="67">
        <f>I194-G194</f>
        <v/>
      </c>
      <c r="Y194" s="75">
        <f>G194-M194</f>
        <v/>
      </c>
    </row>
    <row r="195" ht="15.75" customHeight="1" s="76">
      <c r="A195" s="52" t="n">
        <v>44209</v>
      </c>
      <c r="B195" s="53" t="n">
        <v>40.54</v>
      </c>
      <c r="C195" s="54">
        <f>myParidad('Flujo de Fondos'!$B$5,A195,B195,'Flujo de Fondos'!$B$7,'Flujo de Fondos'!$B$6)</f>
        <v/>
      </c>
      <c r="D195" s="53" t="n">
        <v>42.2</v>
      </c>
      <c r="E195" s="55">
        <f>myParidad('Flujo de Fondos'!$H$5,$A195,D195,'Flujo de Fondos'!$H$7,'Flujo de Fondos'!$H$6)</f>
        <v/>
      </c>
      <c r="F195" s="53" t="n">
        <v>38.98</v>
      </c>
      <c r="G195" s="54">
        <f>myParidad('Flujo de Fondos'!$N$5,$A195,F195,'Flujo de Fondos'!$N$7,'Flujo de Fondos'!$N$6)</f>
        <v/>
      </c>
      <c r="H195" s="53" t="n">
        <v>39.36</v>
      </c>
      <c r="I195" s="54">
        <f>myParidad('Flujo de Fondos'!$T$5,$A195,H195,'Flujo de Fondos'!$T$7,'Flujo de Fondos'!$T$6)</f>
        <v/>
      </c>
      <c r="J195" s="53" t="n">
        <v>34.4</v>
      </c>
      <c r="K195" s="54">
        <f>myParidad('Flujo de Fondos'!$B$34,$A195,J195,'Flujo de Fondos'!$B$36,'Flujo de Fondos'!$B$35)</f>
        <v/>
      </c>
      <c r="L195" s="53" t="n">
        <v>36.22</v>
      </c>
      <c r="M195" s="54">
        <f>myParidad('Flujo de Fondos'!$H$34,'Paridad usd'!$A195,'Paridad usd'!L195,'Flujo de Fondos'!$H$36,'Flujo de Fondos'!$H$35)</f>
        <v/>
      </c>
      <c r="N195" s="56" t="n">
        <v>34.25</v>
      </c>
      <c r="O195" s="54">
        <f>myParidad('Flujo de Fondos'!$N$34,$A195,N195,'Flujo de Fondos'!$N$36,'Flujo de Fondos'!$N$35)</f>
        <v/>
      </c>
      <c r="P195" s="57">
        <f>C195-G195</f>
        <v/>
      </c>
      <c r="Q195" s="57">
        <f>E195-C195</f>
        <v/>
      </c>
      <c r="R195" s="57">
        <f>C195-M195</f>
        <v/>
      </c>
      <c r="S195" s="55">
        <f>C195-O195</f>
        <v/>
      </c>
      <c r="T195" s="57">
        <f>E195-O195</f>
        <v/>
      </c>
      <c r="U195" s="57">
        <f>G195-O195</f>
        <v/>
      </c>
      <c r="V195" s="57">
        <f>G195-K195</f>
        <v/>
      </c>
      <c r="W195" s="57">
        <f>C195-K195</f>
        <v/>
      </c>
      <c r="X195" s="67">
        <f>I195-G195</f>
        <v/>
      </c>
      <c r="Y195" s="75">
        <f>G195-M195</f>
        <v/>
      </c>
    </row>
    <row r="196" ht="15.75" customHeight="1" s="76">
      <c r="A196" s="52" t="n">
        <v>44208</v>
      </c>
      <c r="B196" s="53" t="n">
        <v>40.95</v>
      </c>
      <c r="C196" s="54">
        <f>myParidad('Flujo de Fondos'!$B$5,A196,B196,'Flujo de Fondos'!$B$7,'Flujo de Fondos'!$B$6)</f>
        <v/>
      </c>
      <c r="D196" s="53" t="n">
        <v>43.01</v>
      </c>
      <c r="E196" s="55">
        <f>myParidad('Flujo de Fondos'!$H$5,$A196,D196,'Flujo de Fondos'!$H$7,'Flujo de Fondos'!$H$6)</f>
        <v/>
      </c>
      <c r="F196" s="53" t="n">
        <v>39.04</v>
      </c>
      <c r="G196" s="54">
        <f>myParidad('Flujo de Fondos'!$N$5,$A196,F196,'Flujo de Fondos'!$N$7,'Flujo de Fondos'!$N$6)</f>
        <v/>
      </c>
      <c r="H196" s="53" t="n">
        <v>40.35</v>
      </c>
      <c r="I196" s="54">
        <f>myParidad('Flujo de Fondos'!$T$5,$A196,H196,'Flujo de Fondos'!$T$7,'Flujo de Fondos'!$T$6)</f>
        <v/>
      </c>
      <c r="J196" s="53" t="n">
        <v>34.8</v>
      </c>
      <c r="K196" s="54">
        <f>myParidad('Flujo de Fondos'!$B$34,$A196,J196,'Flujo de Fondos'!$B$36,'Flujo de Fondos'!$B$35)</f>
        <v/>
      </c>
      <c r="L196" s="53" t="n">
        <v>36.35</v>
      </c>
      <c r="M196" s="54">
        <f>myParidad('Flujo de Fondos'!$H$34,'Paridad usd'!$A196,'Paridad usd'!L196,'Flujo de Fondos'!$H$36,'Flujo de Fondos'!$H$35)</f>
        <v/>
      </c>
      <c r="N196" s="56" t="n">
        <v>34.7</v>
      </c>
      <c r="O196" s="54">
        <f>myParidad('Flujo de Fondos'!$N$34,$A196,N196,'Flujo de Fondos'!$N$36,'Flujo de Fondos'!$N$35)</f>
        <v/>
      </c>
      <c r="P196" s="57">
        <f>C196-G196</f>
        <v/>
      </c>
      <c r="Q196" s="57">
        <f>E196-C196</f>
        <v/>
      </c>
      <c r="R196" s="57">
        <f>C196-M196</f>
        <v/>
      </c>
      <c r="S196" s="55">
        <f>C196-O196</f>
        <v/>
      </c>
      <c r="T196" s="57">
        <f>E196-O196</f>
        <v/>
      </c>
      <c r="U196" s="57">
        <f>G196-O196</f>
        <v/>
      </c>
      <c r="V196" s="57">
        <f>G196-K196</f>
        <v/>
      </c>
      <c r="W196" s="57">
        <f>C196-K196</f>
        <v/>
      </c>
      <c r="X196" s="67">
        <f>I196-G196</f>
        <v/>
      </c>
      <c r="Y196" s="75">
        <f>G196-M196</f>
        <v/>
      </c>
    </row>
    <row r="197" ht="15.75" customHeight="1" s="76">
      <c r="A197" s="52" t="n">
        <v>44207</v>
      </c>
      <c r="B197" s="53" t="n">
        <v>40.77</v>
      </c>
      <c r="C197" s="54">
        <f>myParidad('Flujo de Fondos'!$B$5,A197,B197,'Flujo de Fondos'!$B$7,'Flujo de Fondos'!$B$6)</f>
        <v/>
      </c>
      <c r="D197" s="53" t="n">
        <v>43.1</v>
      </c>
      <c r="E197" s="55">
        <f>myParidad('Flujo de Fondos'!$H$5,$A197,D197,'Flujo de Fondos'!$H$7,'Flujo de Fondos'!$H$6)</f>
        <v/>
      </c>
      <c r="F197" s="53" t="n">
        <v>39.04</v>
      </c>
      <c r="G197" s="54">
        <f>myParidad('Flujo de Fondos'!$N$5,$A197,F197,'Flujo de Fondos'!$N$7,'Flujo de Fondos'!$N$6)</f>
        <v/>
      </c>
      <c r="H197" s="53" t="n">
        <v>40.27</v>
      </c>
      <c r="I197" s="54">
        <f>myParidad('Flujo de Fondos'!$T$5,$A197,H197,'Flujo de Fondos'!$T$7,'Flujo de Fondos'!$T$6)</f>
        <v/>
      </c>
      <c r="J197" s="53" t="n">
        <v>35</v>
      </c>
      <c r="K197" s="54">
        <f>myParidad('Flujo de Fondos'!$B$34,$A197,J197,'Flujo de Fondos'!$B$36,'Flujo de Fondos'!$B$35)</f>
        <v/>
      </c>
      <c r="L197" s="53" t="n">
        <v>36.39</v>
      </c>
      <c r="M197" s="54">
        <f>myParidad('Flujo de Fondos'!$H$34,'Paridad usd'!$A197,'Paridad usd'!L197,'Flujo de Fondos'!$H$36,'Flujo de Fondos'!$H$35)</f>
        <v/>
      </c>
      <c r="N197" s="56" t="n">
        <v>34.5</v>
      </c>
      <c r="O197" s="54">
        <f>myParidad('Flujo de Fondos'!$N$34,$A197,N197,'Flujo de Fondos'!$N$36,'Flujo de Fondos'!$N$35)</f>
        <v/>
      </c>
      <c r="P197" s="57">
        <f>C197-G197</f>
        <v/>
      </c>
      <c r="Q197" s="57">
        <f>E197-C197</f>
        <v/>
      </c>
      <c r="R197" s="57">
        <f>C197-M197</f>
        <v/>
      </c>
      <c r="S197" s="55">
        <f>C197-O197</f>
        <v/>
      </c>
      <c r="T197" s="57">
        <f>E197-O197</f>
        <v/>
      </c>
      <c r="U197" s="57">
        <f>G197-O197</f>
        <v/>
      </c>
      <c r="V197" s="57">
        <f>G197-K197</f>
        <v/>
      </c>
      <c r="W197" s="57">
        <f>C197-K197</f>
        <v/>
      </c>
      <c r="X197" s="67">
        <f>I197-G197</f>
        <v/>
      </c>
      <c r="Y197" s="75">
        <f>G197-M197</f>
        <v/>
      </c>
    </row>
    <row r="198" ht="15.75" customHeight="1" s="76">
      <c r="A198" s="52" t="n">
        <v>44204</v>
      </c>
      <c r="B198" s="53" t="n">
        <v>40.85</v>
      </c>
      <c r="C198" s="54">
        <f>myParidad('Flujo de Fondos'!$B$5,A198,B198,'Flujo de Fondos'!$B$7,'Flujo de Fondos'!$B$6)</f>
        <v/>
      </c>
      <c r="D198" s="53" t="n">
        <v>43</v>
      </c>
      <c r="E198" s="55">
        <f>myParidad('Flujo de Fondos'!$H$5,$A198,D198,'Flujo de Fondos'!$H$7,'Flujo de Fondos'!$H$6)</f>
        <v/>
      </c>
      <c r="F198" s="53" t="n">
        <v>39.5</v>
      </c>
      <c r="G198" s="54">
        <f>myParidad('Flujo de Fondos'!$N$5,$A198,F198,'Flujo de Fondos'!$N$7,'Flujo de Fondos'!$N$6)</f>
        <v/>
      </c>
      <c r="H198" s="53" t="n">
        <v>40.46</v>
      </c>
      <c r="I198" s="54">
        <f>myParidad('Flujo de Fondos'!$T$5,$A198,H198,'Flujo de Fondos'!$T$7,'Flujo de Fondos'!$T$6)</f>
        <v/>
      </c>
      <c r="J198" s="53" t="n">
        <v>35</v>
      </c>
      <c r="K198" s="54">
        <f>myParidad('Flujo de Fondos'!$B$34,$A198,J198,'Flujo de Fondos'!$B$36,'Flujo de Fondos'!$B$35)</f>
        <v/>
      </c>
      <c r="L198" s="53" t="n">
        <v>37</v>
      </c>
      <c r="M198" s="54">
        <f>myParidad('Flujo de Fondos'!$H$34,'Paridad usd'!$A198,'Paridad usd'!L198,'Flujo de Fondos'!$H$36,'Flujo de Fondos'!$H$35)</f>
        <v/>
      </c>
      <c r="N198" s="56" t="n">
        <v>34.6</v>
      </c>
      <c r="O198" s="54">
        <f>myParidad('Flujo de Fondos'!$N$34,$A198,N198,'Flujo de Fondos'!$N$36,'Flujo de Fondos'!$N$35)</f>
        <v/>
      </c>
      <c r="P198" s="57">
        <f>C198-G198</f>
        <v/>
      </c>
      <c r="Q198" s="57">
        <f>E198-C198</f>
        <v/>
      </c>
      <c r="R198" s="57">
        <f>C198-M198</f>
        <v/>
      </c>
      <c r="S198" s="55">
        <f>C198-O198</f>
        <v/>
      </c>
      <c r="T198" s="57">
        <f>E198-O198</f>
        <v/>
      </c>
      <c r="U198" s="57">
        <f>G198-O198</f>
        <v/>
      </c>
      <c r="V198" s="57">
        <f>G198-K198</f>
        <v/>
      </c>
      <c r="W198" s="57">
        <f>C198-K198</f>
        <v/>
      </c>
      <c r="X198" s="67">
        <f>I198-G198</f>
        <v/>
      </c>
      <c r="Y198" s="75">
        <f>G198-M198</f>
        <v/>
      </c>
    </row>
    <row r="199" ht="15.75" customHeight="1" s="76">
      <c r="A199" s="52" t="n">
        <v>44203</v>
      </c>
      <c r="B199" s="53" t="n">
        <v>41.23</v>
      </c>
      <c r="C199" s="54">
        <f>myParidad('Flujo de Fondos'!$B$5,A199,B199,'Flujo de Fondos'!$B$7,'Flujo de Fondos'!$B$6)</f>
        <v/>
      </c>
      <c r="D199" s="53" t="n">
        <v>43</v>
      </c>
      <c r="E199" s="55">
        <f>myParidad('Flujo de Fondos'!$H$5,$A199,D199,'Flujo de Fondos'!$H$7,'Flujo de Fondos'!$H$6)</f>
        <v/>
      </c>
      <c r="F199" s="53" t="n">
        <v>39.55</v>
      </c>
      <c r="G199" s="54">
        <f>myParidad('Flujo de Fondos'!$N$5,$A199,F199,'Flujo de Fondos'!$N$7,'Flujo de Fondos'!$N$6)</f>
        <v/>
      </c>
      <c r="H199" s="53" t="n">
        <v>40.6</v>
      </c>
      <c r="I199" s="54">
        <f>myParidad('Flujo de Fondos'!$T$5,$A199,H199,'Flujo de Fondos'!$T$7,'Flujo de Fondos'!$T$6)</f>
        <v/>
      </c>
      <c r="J199" s="53" t="n">
        <v>35.11</v>
      </c>
      <c r="K199" s="54">
        <f>myParidad('Flujo de Fondos'!$B$34,$A199,J199,'Flujo de Fondos'!$B$36,'Flujo de Fondos'!$B$35)</f>
        <v/>
      </c>
      <c r="L199" s="53" t="n">
        <v>37.11</v>
      </c>
      <c r="M199" s="54">
        <f>myParidad('Flujo de Fondos'!$H$34,'Paridad usd'!$A199,'Paridad usd'!L199,'Flujo de Fondos'!$H$36,'Flujo de Fondos'!$H$35)</f>
        <v/>
      </c>
      <c r="N199" s="56" t="n">
        <v>34.85</v>
      </c>
      <c r="O199" s="54">
        <f>myParidad('Flujo de Fondos'!$N$34,$A199,N199,'Flujo de Fondos'!$N$36,'Flujo de Fondos'!$N$35)</f>
        <v/>
      </c>
      <c r="P199" s="57">
        <f>C199-G199</f>
        <v/>
      </c>
      <c r="Q199" s="57">
        <f>E199-C199</f>
        <v/>
      </c>
      <c r="R199" s="57">
        <f>C199-M199</f>
        <v/>
      </c>
      <c r="S199" s="55">
        <f>C199-O199</f>
        <v/>
      </c>
      <c r="T199" s="57">
        <f>E199-O199</f>
        <v/>
      </c>
      <c r="U199" s="57">
        <f>G199-O199</f>
        <v/>
      </c>
      <c r="V199" s="57">
        <f>G199-K199</f>
        <v/>
      </c>
      <c r="W199" s="57">
        <f>C199-K199</f>
        <v/>
      </c>
      <c r="X199" s="67">
        <f>I199-G199</f>
        <v/>
      </c>
      <c r="Y199" s="75">
        <f>G199-M199</f>
        <v/>
      </c>
    </row>
    <row r="200" ht="15.75" customHeight="1" s="76">
      <c r="A200" s="52" t="n">
        <v>44202</v>
      </c>
      <c r="B200" s="53" t="n">
        <v>41.5</v>
      </c>
      <c r="C200" s="54">
        <f>myParidad('Flujo de Fondos'!$B$5,A200,B200,'Flujo de Fondos'!$B$7,'Flujo de Fondos'!$B$6)</f>
        <v/>
      </c>
      <c r="D200" s="53" t="n">
        <v>43.85</v>
      </c>
      <c r="E200" s="55">
        <f>myParidad('Flujo de Fondos'!$H$5,$A200,D200,'Flujo de Fondos'!$H$7,'Flujo de Fondos'!$H$6)</f>
        <v/>
      </c>
      <c r="F200" s="53" t="n">
        <v>40.1</v>
      </c>
      <c r="G200" s="54">
        <f>myParidad('Flujo de Fondos'!$N$5,$A200,F200,'Flujo de Fondos'!$N$7,'Flujo de Fondos'!$N$6)</f>
        <v/>
      </c>
      <c r="H200" s="53" t="n">
        <v>40.95</v>
      </c>
      <c r="I200" s="54">
        <f>myParidad('Flujo de Fondos'!$T$5,$A200,H200,'Flujo de Fondos'!$T$7,'Flujo de Fondos'!$T$6)</f>
        <v/>
      </c>
      <c r="J200" s="53" t="n">
        <v>35.75</v>
      </c>
      <c r="K200" s="54">
        <f>myParidad('Flujo de Fondos'!$B$34,$A200,J200,'Flujo de Fondos'!$B$36,'Flujo de Fondos'!$B$35)</f>
        <v/>
      </c>
      <c r="L200" s="53" t="n">
        <v>37.38</v>
      </c>
      <c r="M200" s="54">
        <f>myParidad('Flujo de Fondos'!$H$34,'Paridad usd'!$A200,'Paridad usd'!L200,'Flujo de Fondos'!$H$36,'Flujo de Fondos'!$H$35)</f>
        <v/>
      </c>
      <c r="N200" s="56" t="n">
        <v>34.6</v>
      </c>
      <c r="O200" s="54">
        <f>myParidad('Flujo de Fondos'!$N$34,$A200,N200,'Flujo de Fondos'!$N$36,'Flujo de Fondos'!$N$35)</f>
        <v/>
      </c>
      <c r="P200" s="57">
        <f>C200-G200</f>
        <v/>
      </c>
      <c r="Q200" s="57">
        <f>E200-C200</f>
        <v/>
      </c>
      <c r="R200" s="57">
        <f>C200-M200</f>
        <v/>
      </c>
      <c r="S200" s="55">
        <f>C200-O200</f>
        <v/>
      </c>
      <c r="T200" s="57">
        <f>E200-O200</f>
        <v/>
      </c>
      <c r="U200" s="57">
        <f>G200-O200</f>
        <v/>
      </c>
      <c r="V200" s="57">
        <f>G200-K200</f>
        <v/>
      </c>
      <c r="W200" s="57">
        <f>C200-K200</f>
        <v/>
      </c>
      <c r="X200" s="67">
        <f>I200-G200</f>
        <v/>
      </c>
      <c r="Y200" s="75">
        <f>G200-M200</f>
        <v/>
      </c>
    </row>
    <row r="201" ht="15.75" customHeight="1" s="76">
      <c r="A201" s="52" t="n">
        <v>44201</v>
      </c>
      <c r="B201" s="53" t="n">
        <v>41.25</v>
      </c>
      <c r="C201" s="54">
        <f>myParidad('Flujo de Fondos'!$B$5,A201,B201,'Flujo de Fondos'!$B$7,'Flujo de Fondos'!$B$6)</f>
        <v/>
      </c>
      <c r="D201" s="53" t="n">
        <v>42.8</v>
      </c>
      <c r="E201" s="55">
        <f>myParidad('Flujo de Fondos'!$H$5,$A201,D201,'Flujo de Fondos'!$H$7,'Flujo de Fondos'!$H$6)</f>
        <v/>
      </c>
      <c r="F201" s="53" t="n">
        <v>40.25</v>
      </c>
      <c r="G201" s="54">
        <f>myParidad('Flujo de Fondos'!$N$5,$A201,F201,'Flujo de Fondos'!$N$7,'Flujo de Fondos'!$N$6)</f>
        <v/>
      </c>
      <c r="H201" s="53" t="n">
        <v>40.27</v>
      </c>
      <c r="I201" s="54">
        <f>myParidad('Flujo de Fondos'!$T$5,$A201,H201,'Flujo de Fondos'!$T$7,'Flujo de Fondos'!$T$6)</f>
        <v/>
      </c>
      <c r="J201" s="53" t="n">
        <v>35.64</v>
      </c>
      <c r="K201" s="54">
        <f>myParidad('Flujo de Fondos'!$B$34,$A201,J201,'Flujo de Fondos'!$B$36,'Flujo de Fondos'!$B$35)</f>
        <v/>
      </c>
      <c r="L201" s="53" t="n">
        <v>36.9</v>
      </c>
      <c r="M201" s="54">
        <f>myParidad('Flujo de Fondos'!$H$34,'Paridad usd'!$A201,'Paridad usd'!L201,'Flujo de Fondos'!$H$36,'Flujo de Fondos'!$H$35)</f>
        <v/>
      </c>
      <c r="N201" s="56" t="n">
        <v>34.5</v>
      </c>
      <c r="O201" s="54">
        <f>myParidad('Flujo de Fondos'!$N$34,$A201,N201,'Flujo de Fondos'!$N$36,'Flujo de Fondos'!$N$35)</f>
        <v/>
      </c>
      <c r="P201" s="57">
        <f>C201-G201</f>
        <v/>
      </c>
      <c r="Q201" s="57">
        <f>E201-C201</f>
        <v/>
      </c>
      <c r="R201" s="57">
        <f>C201-M201</f>
        <v/>
      </c>
      <c r="S201" s="55">
        <f>C201-O201</f>
        <v/>
      </c>
      <c r="T201" s="57">
        <f>E201-O201</f>
        <v/>
      </c>
      <c r="U201" s="57">
        <f>G201-O201</f>
        <v/>
      </c>
      <c r="V201" s="57">
        <f>G201-K201</f>
        <v/>
      </c>
      <c r="W201" s="57">
        <f>C201-K201</f>
        <v/>
      </c>
      <c r="X201" s="67">
        <f>I201-G201</f>
        <v/>
      </c>
      <c r="Y201" s="75">
        <f>G201-M201</f>
        <v/>
      </c>
    </row>
    <row r="202" ht="15.75" customHeight="1" s="76">
      <c r="A202" s="52" t="n">
        <v>44200</v>
      </c>
      <c r="B202" s="53" t="n">
        <v>41.36</v>
      </c>
      <c r="C202" s="54">
        <f>myParidad('Flujo de Fondos'!$B$5,A202,B202,'Flujo de Fondos'!$B$7,'Flujo de Fondos'!$B$6)</f>
        <v/>
      </c>
      <c r="D202" s="53" t="n">
        <v>43.11</v>
      </c>
      <c r="E202" s="55">
        <f>myParidad('Flujo de Fondos'!$H$5,$A202,D202,'Flujo de Fondos'!$H$7,'Flujo de Fondos'!$H$6)</f>
        <v/>
      </c>
      <c r="F202" s="53" t="n">
        <v>40.55</v>
      </c>
      <c r="G202" s="54">
        <f>myParidad('Flujo de Fondos'!$N$5,$A202,F202,'Flujo de Fondos'!$N$7,'Flujo de Fondos'!$N$6)</f>
        <v/>
      </c>
      <c r="H202" s="53" t="n">
        <v>40.5</v>
      </c>
      <c r="I202" s="54">
        <f>myParidad('Flujo de Fondos'!$T$5,$A202,H202,'Flujo de Fondos'!$T$7,'Flujo de Fondos'!$T$6)</f>
        <v/>
      </c>
      <c r="J202" s="53" t="n">
        <v>36.1</v>
      </c>
      <c r="K202" s="54">
        <f>myParidad('Flujo de Fondos'!$B$34,$A202,J202,'Flujo de Fondos'!$B$36,'Flujo de Fondos'!$B$35)</f>
        <v/>
      </c>
      <c r="L202" s="53" t="n">
        <v>37.23</v>
      </c>
      <c r="M202" s="54">
        <f>myParidad('Flujo de Fondos'!$H$34,'Paridad usd'!$A202,'Paridad usd'!L202,'Flujo de Fondos'!$H$36,'Flujo de Fondos'!$H$35)</f>
        <v/>
      </c>
      <c r="N202" s="56" t="n">
        <v>34.8</v>
      </c>
      <c r="O202" s="54">
        <f>myParidad('Flujo de Fondos'!$N$34,$A202,N202,'Flujo de Fondos'!$N$36,'Flujo de Fondos'!$N$35)</f>
        <v/>
      </c>
      <c r="P202" s="57">
        <f>C202-G202</f>
        <v/>
      </c>
      <c r="Q202" s="57">
        <f>E202-C202</f>
        <v/>
      </c>
      <c r="R202" s="57">
        <f>C202-M202</f>
        <v/>
      </c>
      <c r="S202" s="55">
        <f>C202-O202</f>
        <v/>
      </c>
      <c r="T202" s="57">
        <f>E202-O202</f>
        <v/>
      </c>
      <c r="U202" s="57">
        <f>G202-O202</f>
        <v/>
      </c>
      <c r="V202" s="57">
        <f>G202-K202</f>
        <v/>
      </c>
      <c r="W202" s="57">
        <f>C202-K202</f>
        <v/>
      </c>
      <c r="X202" s="67">
        <f>I202-G202</f>
        <v/>
      </c>
      <c r="Y202" s="75">
        <f>G202-M202</f>
        <v/>
      </c>
    </row>
    <row r="203" ht="15.75" customHeight="1" s="76">
      <c r="A203" s="52" t="n">
        <v>44195</v>
      </c>
      <c r="B203" s="53" t="n">
        <v>42.35</v>
      </c>
      <c r="C203" s="54">
        <f>myParidad('Flujo de Fondos'!$B$5,A203,B203,'Flujo de Fondos'!$B$7,'Flujo de Fondos'!$B$6)</f>
        <v/>
      </c>
      <c r="D203" s="53" t="n">
        <v>44.9</v>
      </c>
      <c r="E203" s="55">
        <f>myParidad('Flujo de Fondos'!$H$5,$A203,D203,'Flujo de Fondos'!$H$7,'Flujo de Fondos'!$H$6)</f>
        <v/>
      </c>
      <c r="F203" s="53" t="n">
        <v>40.94</v>
      </c>
      <c r="G203" s="54">
        <f>myParidad('Flujo de Fondos'!$N$5,$A203,F203,'Flujo de Fondos'!$N$7,'Flujo de Fondos'!$N$6)</f>
        <v/>
      </c>
      <c r="H203" s="53" t="n">
        <v>41.59</v>
      </c>
      <c r="I203" s="54">
        <f>myParidad('Flujo de Fondos'!$T$5,$A203,H203,'Flujo de Fondos'!$T$7,'Flujo de Fondos'!$T$6)</f>
        <v/>
      </c>
      <c r="J203" s="53" t="n">
        <v>36.5</v>
      </c>
      <c r="K203" s="54">
        <f>myParidad('Flujo de Fondos'!$B$34,$A203,J203,'Flujo de Fondos'!$B$36,'Flujo de Fondos'!$B$35)</f>
        <v/>
      </c>
      <c r="L203" s="53" t="n">
        <v>38.2</v>
      </c>
      <c r="M203" s="54">
        <f>myParidad('Flujo de Fondos'!$H$34,'Paridad usd'!$A203,'Paridad usd'!L203,'Flujo de Fondos'!$H$36,'Flujo de Fondos'!$H$35)</f>
        <v/>
      </c>
      <c r="N203" s="56" t="n">
        <v>35.9</v>
      </c>
      <c r="O203" s="54">
        <f>myParidad('Flujo de Fondos'!$N$34,$A203,N203,'Flujo de Fondos'!$N$36,'Flujo de Fondos'!$N$35)</f>
        <v/>
      </c>
      <c r="P203" s="57">
        <f>C203-G203</f>
        <v/>
      </c>
      <c r="Q203" s="57">
        <f>E203-C203</f>
        <v/>
      </c>
      <c r="R203" s="57">
        <f>C203-M203</f>
        <v/>
      </c>
      <c r="S203" s="55">
        <f>C203-O203</f>
        <v/>
      </c>
      <c r="T203" s="57">
        <f>E203-O203</f>
        <v/>
      </c>
      <c r="U203" s="57">
        <f>G203-O203</f>
        <v/>
      </c>
      <c r="V203" s="57">
        <f>G203-K203</f>
        <v/>
      </c>
      <c r="W203" s="57">
        <f>C203-K203</f>
        <v/>
      </c>
      <c r="X203" s="67">
        <f>I203-G203</f>
        <v/>
      </c>
      <c r="Y203" s="75">
        <f>G203-M203</f>
        <v/>
      </c>
    </row>
    <row r="204">
      <c r="A204" s="52" t="n">
        <v>44194</v>
      </c>
      <c r="B204" s="53" t="n">
        <v>42.35</v>
      </c>
      <c r="C204" s="54">
        <f>myParidad('Flujo de Fondos'!$B$5,A204,B204,'Flujo de Fondos'!$B$7,'Flujo de Fondos'!$B$6)</f>
        <v/>
      </c>
      <c r="D204" s="53" t="n">
        <v>44.78</v>
      </c>
      <c r="E204" s="55">
        <f>myParidad('Flujo de Fondos'!$H$5,$A204,D204,'Flujo de Fondos'!$H$7,'Flujo de Fondos'!$H$6)</f>
        <v/>
      </c>
      <c r="F204" s="53" t="n">
        <v>40.93</v>
      </c>
      <c r="G204" s="54">
        <f>myParidad('Flujo de Fondos'!$N$5,$A204,F204,'Flujo de Fondos'!$N$7,'Flujo de Fondos'!$N$6)</f>
        <v/>
      </c>
      <c r="H204" s="53" t="n">
        <v>41.19</v>
      </c>
      <c r="I204" s="54">
        <f>myParidad('Flujo de Fondos'!$T$5,$A204,H204,'Flujo de Fondos'!$T$7,'Flujo de Fondos'!$T$6)</f>
        <v/>
      </c>
      <c r="J204" s="53" t="n">
        <v>36.6</v>
      </c>
      <c r="K204" s="54">
        <f>myParidad('Flujo de Fondos'!$B$34,$A204,J204,'Flujo de Fondos'!$B$36,'Flujo de Fondos'!$B$35)</f>
        <v/>
      </c>
      <c r="L204" s="53" t="n">
        <v>38.8</v>
      </c>
      <c r="M204" s="54">
        <f>myParidad('Flujo de Fondos'!$H$34,'Paridad usd'!$A204,'Paridad usd'!L204,'Flujo de Fondos'!$H$36,'Flujo de Fondos'!$H$35)</f>
        <v/>
      </c>
      <c r="N204" s="56" t="n">
        <v>35.75</v>
      </c>
      <c r="O204" s="54">
        <f>myParidad('Flujo de Fondos'!$N$34,$A204,N204,'Flujo de Fondos'!$N$36,'Flujo de Fondos'!$N$35)</f>
        <v/>
      </c>
      <c r="P204" s="57">
        <f>C204-G204</f>
        <v/>
      </c>
      <c r="Q204" s="57">
        <f>E204-C204</f>
        <v/>
      </c>
      <c r="R204" s="57">
        <f>C204-M204</f>
        <v/>
      </c>
      <c r="S204" s="55">
        <f>C204-O204</f>
        <v/>
      </c>
      <c r="T204" s="57">
        <f>E204-O204</f>
        <v/>
      </c>
      <c r="U204" s="57">
        <f>G204-O204</f>
        <v/>
      </c>
      <c r="V204" s="57">
        <f>G204-K204</f>
        <v/>
      </c>
      <c r="W204" s="57">
        <f>C204-K204</f>
        <v/>
      </c>
      <c r="X204" s="67">
        <f>I204-G204</f>
        <v/>
      </c>
      <c r="Y204" s="75">
        <f>G204-M204</f>
        <v/>
      </c>
    </row>
    <row r="205">
      <c r="A205" s="52" t="n">
        <v>44193</v>
      </c>
      <c r="B205" s="53" t="n">
        <v>42.24</v>
      </c>
      <c r="C205" s="54">
        <f>myParidad('Flujo de Fondos'!$B$5,A205,B205,'Flujo de Fondos'!$B$7,'Flujo de Fondos'!$B$6)</f>
        <v/>
      </c>
      <c r="D205" s="53" t="n">
        <v>44</v>
      </c>
      <c r="E205" s="55">
        <f>myParidad('Flujo de Fondos'!$H$5,$A205,D205,'Flujo de Fondos'!$H$7,'Flujo de Fondos'!$H$6)</f>
        <v/>
      </c>
      <c r="F205" s="53" t="n">
        <v>40.9</v>
      </c>
      <c r="G205" s="54">
        <f>myParidad('Flujo de Fondos'!$N$5,$A205,F205,'Flujo de Fondos'!$N$7,'Flujo de Fondos'!$N$6)</f>
        <v/>
      </c>
      <c r="H205" s="53" t="n">
        <v>41.89</v>
      </c>
      <c r="I205" s="54">
        <f>myParidad('Flujo de Fondos'!$T$5,$A205,H205,'Flujo de Fondos'!$T$7,'Flujo de Fondos'!$T$6)</f>
        <v/>
      </c>
      <c r="J205" s="53" t="n">
        <v>36.75</v>
      </c>
      <c r="K205" s="54">
        <f>myParidad('Flujo de Fondos'!$B$34,$A205,J205,'Flujo de Fondos'!$B$36,'Flujo de Fondos'!$B$35)</f>
        <v/>
      </c>
      <c r="L205" s="53" t="n">
        <v>39</v>
      </c>
      <c r="M205" s="54">
        <f>myParidad('Flujo de Fondos'!$H$34,'Paridad usd'!$A205,'Paridad usd'!L205,'Flujo de Fondos'!$H$36,'Flujo de Fondos'!$H$35)</f>
        <v/>
      </c>
      <c r="N205" s="56" t="n">
        <v>35.7</v>
      </c>
      <c r="O205" s="54">
        <f>myParidad('Flujo de Fondos'!$N$34,$A205,N205,'Flujo de Fondos'!$N$36,'Flujo de Fondos'!$N$35)</f>
        <v/>
      </c>
      <c r="P205" s="57">
        <f>C205-G205</f>
        <v/>
      </c>
      <c r="Q205" s="57">
        <f>E205-C205</f>
        <v/>
      </c>
      <c r="R205" s="57">
        <f>C205-M205</f>
        <v/>
      </c>
      <c r="S205" s="55">
        <f>C205-O205</f>
        <v/>
      </c>
      <c r="T205" s="57">
        <f>E205-O205</f>
        <v/>
      </c>
      <c r="U205" s="57">
        <f>G205-O205</f>
        <v/>
      </c>
      <c r="V205" s="57">
        <f>G205-K205</f>
        <v/>
      </c>
      <c r="W205" s="57">
        <f>C205-K205</f>
        <v/>
      </c>
      <c r="X205" s="67">
        <f>I205-G205</f>
        <v/>
      </c>
      <c r="Y205" s="75">
        <f>G205-M205</f>
        <v/>
      </c>
    </row>
    <row r="206">
      <c r="A206" s="52" t="n">
        <v>44188</v>
      </c>
      <c r="B206" s="53" t="n">
        <v>42.27</v>
      </c>
      <c r="C206" s="54">
        <f>myParidad('Flujo de Fondos'!$B$5,A206,B206,'Flujo de Fondos'!$B$7,'Flujo de Fondos'!$B$6)</f>
        <v/>
      </c>
      <c r="D206" s="53" t="n">
        <v>44</v>
      </c>
      <c r="E206" s="55">
        <f>myParidad('Flujo de Fondos'!$H$5,$A206,D206,'Flujo de Fondos'!$H$7,'Flujo de Fondos'!$H$6)</f>
        <v/>
      </c>
      <c r="F206" s="53" t="n">
        <v>40.62</v>
      </c>
      <c r="G206" s="54">
        <f>myParidad('Flujo de Fondos'!$N$5,$A206,F206,'Flujo de Fondos'!$N$7,'Flujo de Fondos'!$N$6)</f>
        <v/>
      </c>
      <c r="H206" s="53" t="n">
        <v>41.3</v>
      </c>
      <c r="I206" s="54">
        <f>myParidad('Flujo de Fondos'!$T$5,$A206,H206,'Flujo de Fondos'!$T$7,'Flujo de Fondos'!$T$6)</f>
        <v/>
      </c>
      <c r="J206" s="53" t="n">
        <v>36.3</v>
      </c>
      <c r="K206" s="54">
        <f>myParidad('Flujo de Fondos'!$B$34,$A206,J206,'Flujo de Fondos'!$B$36,'Flujo de Fondos'!$B$35)</f>
        <v/>
      </c>
      <c r="L206" s="53" t="n">
        <v>38.58</v>
      </c>
      <c r="M206" s="54">
        <f>myParidad('Flujo de Fondos'!$H$34,'Paridad usd'!$A206,'Paridad usd'!L206,'Flujo de Fondos'!$H$36,'Flujo de Fondos'!$H$35)</f>
        <v/>
      </c>
      <c r="N206" s="56" t="n">
        <v>35.7</v>
      </c>
      <c r="O206" s="54">
        <f>myParidad('Flujo de Fondos'!$N$34,$A206,N206,'Flujo de Fondos'!$N$36,'Flujo de Fondos'!$N$35)</f>
        <v/>
      </c>
      <c r="P206" s="57">
        <f>C206-G206</f>
        <v/>
      </c>
      <c r="Q206" s="57">
        <f>E206-C206</f>
        <v/>
      </c>
      <c r="R206" s="57">
        <f>C206-M206</f>
        <v/>
      </c>
      <c r="S206" s="55">
        <f>C206-O206</f>
        <v/>
      </c>
      <c r="T206" s="57">
        <f>E206-O206</f>
        <v/>
      </c>
      <c r="U206" s="57">
        <f>G206-O206</f>
        <v/>
      </c>
      <c r="V206" s="57">
        <f>G206-K206</f>
        <v/>
      </c>
      <c r="W206" s="57">
        <f>C206-K206</f>
        <v/>
      </c>
      <c r="X206" s="67">
        <f>I206-G206</f>
        <v/>
      </c>
      <c r="Y206" s="75">
        <f>G206-M206</f>
        <v/>
      </c>
    </row>
    <row r="207">
      <c r="A207" s="52" t="n">
        <v>44187</v>
      </c>
      <c r="B207" s="53" t="n">
        <v>42.3</v>
      </c>
      <c r="C207" s="54">
        <f>myParidad('Flujo de Fondos'!$B$5,A207,B207,'Flujo de Fondos'!$B$7,'Flujo de Fondos'!$B$6)</f>
        <v/>
      </c>
      <c r="D207" s="53" t="n">
        <v>43.51</v>
      </c>
      <c r="E207" s="55">
        <f>myParidad('Flujo de Fondos'!$H$5,$A207,D207,'Flujo de Fondos'!$H$7,'Flujo de Fondos'!$H$6)</f>
        <v/>
      </c>
      <c r="F207" s="53" t="n">
        <v>40.71</v>
      </c>
      <c r="G207" s="54">
        <f>myParidad('Flujo de Fondos'!$N$5,$A207,F207,'Flujo de Fondos'!$N$7,'Flujo de Fondos'!$N$6)</f>
        <v/>
      </c>
      <c r="H207" s="53" t="n">
        <v>41.25</v>
      </c>
      <c r="I207" s="54">
        <f>myParidad('Flujo de Fondos'!$T$5,$A207,H207,'Flujo de Fondos'!$T$7,'Flujo de Fondos'!$T$6)</f>
        <v/>
      </c>
      <c r="J207" s="53" t="n">
        <v>36.5</v>
      </c>
      <c r="K207" s="54">
        <f>myParidad('Flujo de Fondos'!$B$34,$A207,J207,'Flujo de Fondos'!$B$36,'Flujo de Fondos'!$B$35)</f>
        <v/>
      </c>
      <c r="L207" s="53" t="n">
        <v>38.65</v>
      </c>
      <c r="M207" s="54">
        <f>myParidad('Flujo de Fondos'!$H$34,'Paridad usd'!$A207,'Paridad usd'!L207,'Flujo de Fondos'!$H$36,'Flujo de Fondos'!$H$35)</f>
        <v/>
      </c>
      <c r="N207" s="56" t="n">
        <v>35.95</v>
      </c>
      <c r="O207" s="54">
        <f>myParidad('Flujo de Fondos'!$N$34,$A207,N207,'Flujo de Fondos'!$N$36,'Flujo de Fondos'!$N$35)</f>
        <v/>
      </c>
      <c r="P207" s="57">
        <f>C207-G207</f>
        <v/>
      </c>
      <c r="Q207" s="57">
        <f>E207-C207</f>
        <v/>
      </c>
      <c r="R207" s="57">
        <f>C207-M207</f>
        <v/>
      </c>
      <c r="S207" s="55">
        <f>C207-O207</f>
        <v/>
      </c>
      <c r="T207" s="57">
        <f>E207-O207</f>
        <v/>
      </c>
      <c r="U207" s="57">
        <f>G207-O207</f>
        <v/>
      </c>
      <c r="V207" s="57">
        <f>G207-K207</f>
        <v/>
      </c>
      <c r="W207" s="57">
        <f>C207-K207</f>
        <v/>
      </c>
      <c r="X207" s="67">
        <f>I207-G207</f>
        <v/>
      </c>
      <c r="Y207" s="75">
        <f>G207-M207</f>
        <v/>
      </c>
    </row>
    <row r="208">
      <c r="A208" s="52" t="n">
        <v>44186</v>
      </c>
      <c r="B208" s="53" t="n">
        <v>42.21</v>
      </c>
      <c r="C208" s="54">
        <f>myParidad('Flujo de Fondos'!$B$5,A208,B208,'Flujo de Fondos'!$B$7,'Flujo de Fondos'!$B$6)</f>
        <v/>
      </c>
      <c r="D208" s="53" t="n">
        <v>44.38</v>
      </c>
      <c r="E208" s="55">
        <f>myParidad('Flujo de Fondos'!$H$5,$A208,D208,'Flujo de Fondos'!$H$7,'Flujo de Fondos'!$H$6)</f>
        <v/>
      </c>
      <c r="F208" s="53" t="n">
        <v>40.74</v>
      </c>
      <c r="G208" s="54">
        <f>myParidad('Flujo de Fondos'!$N$5,$A208,F208,'Flujo de Fondos'!$N$7,'Flujo de Fondos'!$N$6)</f>
        <v/>
      </c>
      <c r="H208" s="53" t="n">
        <v>41.15</v>
      </c>
      <c r="I208" s="54">
        <f>myParidad('Flujo de Fondos'!$T$5,$A208,H208,'Flujo de Fondos'!$T$7,'Flujo de Fondos'!$T$6)</f>
        <v/>
      </c>
      <c r="J208" s="53" t="n">
        <v>37</v>
      </c>
      <c r="K208" s="54">
        <f>myParidad('Flujo de Fondos'!$B$34,$A208,J208,'Flujo de Fondos'!$B$36,'Flujo de Fondos'!$B$35)</f>
        <v/>
      </c>
      <c r="L208" s="53" t="n">
        <v>38.61</v>
      </c>
      <c r="M208" s="54">
        <f>myParidad('Flujo de Fondos'!$H$34,'Paridad usd'!$A208,'Paridad usd'!L208,'Flujo de Fondos'!$H$36,'Flujo de Fondos'!$H$35)</f>
        <v/>
      </c>
      <c r="N208" s="56" t="n">
        <v>35.55</v>
      </c>
      <c r="O208" s="54">
        <f>myParidad('Flujo de Fondos'!$N$34,$A208,N208,'Flujo de Fondos'!$N$36,'Flujo de Fondos'!$N$35)</f>
        <v/>
      </c>
      <c r="P208" s="57">
        <f>C208-G208</f>
        <v/>
      </c>
      <c r="Q208" s="57">
        <f>E208-C208</f>
        <v/>
      </c>
      <c r="R208" s="57">
        <f>C208-M208</f>
        <v/>
      </c>
      <c r="S208" s="55">
        <f>C208-O208</f>
        <v/>
      </c>
      <c r="T208" s="57">
        <f>E208-O208</f>
        <v/>
      </c>
      <c r="U208" s="57">
        <f>G208-O208</f>
        <v/>
      </c>
      <c r="V208" s="57">
        <f>G208-K208</f>
        <v/>
      </c>
      <c r="W208" s="57">
        <f>C208-K208</f>
        <v/>
      </c>
      <c r="X208" s="67">
        <f>I208-G208</f>
        <v/>
      </c>
      <c r="Y208" s="75">
        <f>G208-M208</f>
        <v/>
      </c>
    </row>
    <row r="209">
      <c r="A209" s="52" t="n">
        <v>44183</v>
      </c>
      <c r="B209" s="53" t="n">
        <v>41.75</v>
      </c>
      <c r="C209" s="54">
        <f>myParidad('Flujo de Fondos'!$B$5,A209,B209,'Flujo de Fondos'!$B$7,'Flujo de Fondos'!$B$6)</f>
        <v/>
      </c>
      <c r="D209" s="53" t="n">
        <v>43.5</v>
      </c>
      <c r="E209" s="55">
        <f>myParidad('Flujo de Fondos'!$H$5,$A209,D209,'Flujo de Fondos'!$H$7,'Flujo de Fondos'!$H$6)</f>
        <v/>
      </c>
      <c r="F209" s="53" t="n">
        <v>40.22</v>
      </c>
      <c r="G209" s="54">
        <f>myParidad('Flujo de Fondos'!$N$5,$A209,F209,'Flujo de Fondos'!$N$7,'Flujo de Fondos'!$N$6)</f>
        <v/>
      </c>
      <c r="H209" s="53" t="n">
        <v>41.4</v>
      </c>
      <c r="I209" s="54">
        <f>myParidad('Flujo de Fondos'!$T$5,$A209,H209,'Flujo de Fondos'!$T$7,'Flujo de Fondos'!$T$6)</f>
        <v/>
      </c>
      <c r="J209" s="53" t="n">
        <v>36.18</v>
      </c>
      <c r="K209" s="54">
        <f>myParidad('Flujo de Fondos'!$B$34,$A209,J209,'Flujo de Fondos'!$B$36,'Flujo de Fondos'!$B$35)</f>
        <v/>
      </c>
      <c r="L209" s="53" t="n">
        <v>38.26</v>
      </c>
      <c r="M209" s="54">
        <f>myParidad('Flujo de Fondos'!$H$34,'Paridad usd'!$A209,'Paridad usd'!L209,'Flujo de Fondos'!$H$36,'Flujo de Fondos'!$H$35)</f>
        <v/>
      </c>
      <c r="N209" s="56" t="n">
        <v>35.5</v>
      </c>
      <c r="O209" s="54">
        <f>myParidad('Flujo de Fondos'!$N$34,$A209,N209,'Flujo de Fondos'!$N$36,'Flujo de Fondos'!$N$35)</f>
        <v/>
      </c>
      <c r="P209" s="57">
        <f>C209-G209</f>
        <v/>
      </c>
      <c r="Q209" s="57">
        <f>E209-C209</f>
        <v/>
      </c>
      <c r="R209" s="57">
        <f>C209-M209</f>
        <v/>
      </c>
      <c r="S209" s="55">
        <f>C209-O209</f>
        <v/>
      </c>
      <c r="T209" s="57">
        <f>E209-O209</f>
        <v/>
      </c>
      <c r="U209" s="57">
        <f>G209-O209</f>
        <v/>
      </c>
      <c r="V209" s="57">
        <f>G209-K209</f>
        <v/>
      </c>
      <c r="W209" s="57">
        <f>C209-K209</f>
        <v/>
      </c>
      <c r="X209" s="67">
        <f>I209-G209</f>
        <v/>
      </c>
      <c r="Y209" s="75">
        <f>G209-M209</f>
        <v/>
      </c>
    </row>
    <row r="210">
      <c r="A210" s="52" t="n">
        <v>44182</v>
      </c>
      <c r="B210" s="53" t="n">
        <v>41.57</v>
      </c>
      <c r="C210" s="54">
        <f>myParidad('Flujo de Fondos'!$B$5,A210,B210,'Flujo de Fondos'!$B$7,'Flujo de Fondos'!$B$6)</f>
        <v/>
      </c>
      <c r="D210" s="53" t="n">
        <v>43.47</v>
      </c>
      <c r="E210" s="55">
        <f>myParidad('Flujo de Fondos'!$H$5,$A210,D210,'Flujo de Fondos'!$H$7,'Flujo de Fondos'!$H$6)</f>
        <v/>
      </c>
      <c r="F210" s="53" t="n">
        <v>39.84</v>
      </c>
      <c r="G210" s="54">
        <f>myParidad('Flujo de Fondos'!$N$5,$A210,F210,'Flujo de Fondos'!$N$7,'Flujo de Fondos'!$N$6)</f>
        <v/>
      </c>
      <c r="H210" s="53" t="n">
        <v>41.01</v>
      </c>
      <c r="I210" s="54">
        <f>myParidad('Flujo de Fondos'!$T$5,$A210,H210,'Flujo de Fondos'!$T$7,'Flujo de Fondos'!$T$6)</f>
        <v/>
      </c>
      <c r="J210" s="53" t="n">
        <v>35.85</v>
      </c>
      <c r="K210" s="54">
        <f>myParidad('Flujo de Fondos'!$B$34,$A210,J210,'Flujo de Fondos'!$B$36,'Flujo de Fondos'!$B$35)</f>
        <v/>
      </c>
      <c r="L210" s="53" t="n">
        <v>37.9</v>
      </c>
      <c r="M210" s="54">
        <f>myParidad('Flujo de Fondos'!$H$34,'Paridad usd'!$A210,'Paridad usd'!L210,'Flujo de Fondos'!$H$36,'Flujo de Fondos'!$H$35)</f>
        <v/>
      </c>
      <c r="N210" s="56" t="n">
        <v>35.05</v>
      </c>
      <c r="O210" s="54">
        <f>myParidad('Flujo de Fondos'!$N$34,$A210,N210,'Flujo de Fondos'!$N$36,'Flujo de Fondos'!$N$35)</f>
        <v/>
      </c>
      <c r="P210" s="57">
        <f>C210-G210</f>
        <v/>
      </c>
      <c r="Q210" s="57">
        <f>E210-C210</f>
        <v/>
      </c>
      <c r="R210" s="57">
        <f>C210-M210</f>
        <v/>
      </c>
      <c r="S210" s="55">
        <f>C210-O210</f>
        <v/>
      </c>
      <c r="T210" s="57">
        <f>E210-O210</f>
        <v/>
      </c>
      <c r="U210" s="57">
        <f>G210-O210</f>
        <v/>
      </c>
      <c r="V210" s="57">
        <f>G210-K210</f>
        <v/>
      </c>
      <c r="W210" s="57">
        <f>C210-K210</f>
        <v/>
      </c>
      <c r="X210" s="67">
        <f>I210-G210</f>
        <v/>
      </c>
      <c r="Y210" s="75">
        <f>G210-M210</f>
        <v/>
      </c>
    </row>
    <row r="211">
      <c r="A211" s="52" t="n">
        <v>44181</v>
      </c>
      <c r="B211" s="53" t="n">
        <v>41.55</v>
      </c>
      <c r="C211" s="54">
        <f>myParidad('Flujo de Fondos'!$B$5,A211,B211,'Flujo de Fondos'!$B$7,'Flujo de Fondos'!$B$6)</f>
        <v/>
      </c>
      <c r="D211" s="53" t="n">
        <v>43.48</v>
      </c>
      <c r="E211" s="55">
        <f>myParidad('Flujo de Fondos'!$H$5,$A211,D211,'Flujo de Fondos'!$H$7,'Flujo de Fondos'!$H$6)</f>
        <v/>
      </c>
      <c r="F211" s="53" t="n">
        <v>39.78</v>
      </c>
      <c r="G211" s="54">
        <f>myParidad('Flujo de Fondos'!$N$5,$A211,F211,'Flujo de Fondos'!$N$7,'Flujo de Fondos'!$N$6)</f>
        <v/>
      </c>
      <c r="H211" s="53" t="n">
        <v>40.8</v>
      </c>
      <c r="I211" s="54">
        <f>myParidad('Flujo de Fondos'!$T$5,$A211,H211,'Flujo de Fondos'!$T$7,'Flujo de Fondos'!$T$6)</f>
        <v/>
      </c>
      <c r="J211" s="53" t="n">
        <v>35.1</v>
      </c>
      <c r="K211" s="54">
        <f>myParidad('Flujo de Fondos'!$B$34,$A211,J211,'Flujo de Fondos'!$B$36,'Flujo de Fondos'!$B$35)</f>
        <v/>
      </c>
      <c r="L211" s="53" t="n">
        <v>37.28</v>
      </c>
      <c r="M211" s="54">
        <f>myParidad('Flujo de Fondos'!$H$34,'Paridad usd'!$A211,'Paridad usd'!L211,'Flujo de Fondos'!$H$36,'Flujo de Fondos'!$H$35)</f>
        <v/>
      </c>
      <c r="N211" s="56" t="n">
        <v>34.8</v>
      </c>
      <c r="O211" s="54">
        <f>myParidad('Flujo de Fondos'!$N$34,$A211,N211,'Flujo de Fondos'!$N$36,'Flujo de Fondos'!$N$35)</f>
        <v/>
      </c>
      <c r="P211" s="57">
        <f>C211-G211</f>
        <v/>
      </c>
      <c r="Q211" s="57">
        <f>E211-C211</f>
        <v/>
      </c>
      <c r="R211" s="57">
        <f>C211-M211</f>
        <v/>
      </c>
      <c r="S211" s="55">
        <f>C211-O211</f>
        <v/>
      </c>
      <c r="T211" s="57">
        <f>E211-O211</f>
        <v/>
      </c>
      <c r="U211" s="57">
        <f>G211-O211</f>
        <v/>
      </c>
      <c r="V211" s="57">
        <f>G211-K211</f>
        <v/>
      </c>
      <c r="W211" s="57">
        <f>C211-K211</f>
        <v/>
      </c>
      <c r="X211" s="67">
        <f>I211-G211</f>
        <v/>
      </c>
      <c r="Y211" s="75">
        <f>G211-M211</f>
        <v/>
      </c>
    </row>
    <row r="212">
      <c r="A212" s="52" t="n">
        <v>44180</v>
      </c>
      <c r="B212" s="53" t="n">
        <v>41.75</v>
      </c>
      <c r="C212" s="54">
        <f>myParidad('Flujo de Fondos'!$B$5,A212,B212,'Flujo de Fondos'!$B$7,'Flujo de Fondos'!$B$6)</f>
        <v/>
      </c>
      <c r="D212" s="53" t="n">
        <v>43.9</v>
      </c>
      <c r="E212" s="55">
        <f>myParidad('Flujo de Fondos'!$H$5,$A212,D212,'Flujo de Fondos'!$H$7,'Flujo de Fondos'!$H$6)</f>
        <v/>
      </c>
      <c r="F212" s="53" t="n">
        <v>40.03</v>
      </c>
      <c r="G212" s="54">
        <f>myParidad('Flujo de Fondos'!$N$5,$A212,F212,'Flujo de Fondos'!$N$7,'Flujo de Fondos'!$N$6)</f>
        <v/>
      </c>
      <c r="H212" s="53" t="n">
        <v>40.66</v>
      </c>
      <c r="I212" s="54">
        <f>myParidad('Flujo de Fondos'!$T$5,$A212,H212,'Flujo de Fondos'!$T$7,'Flujo de Fondos'!$T$6)</f>
        <v/>
      </c>
      <c r="J212" s="53" t="n">
        <v>35.1</v>
      </c>
      <c r="K212" s="54">
        <f>myParidad('Flujo de Fondos'!$B$34,$A212,J212,'Flujo de Fondos'!$B$36,'Flujo de Fondos'!$B$35)</f>
        <v/>
      </c>
      <c r="L212" s="53" t="n">
        <v>37</v>
      </c>
      <c r="M212" s="54">
        <f>myParidad('Flujo de Fondos'!$H$34,'Paridad usd'!$A212,'Paridad usd'!L212,'Flujo de Fondos'!$H$36,'Flujo de Fondos'!$H$35)</f>
        <v/>
      </c>
      <c r="N212" s="56" t="n">
        <v>34.8</v>
      </c>
      <c r="O212" s="54">
        <f>myParidad('Flujo de Fondos'!$N$34,$A212,N212,'Flujo de Fondos'!$N$36,'Flujo de Fondos'!$N$35)</f>
        <v/>
      </c>
      <c r="P212" s="57">
        <f>C212-G212</f>
        <v/>
      </c>
      <c r="Q212" s="57">
        <f>E212-C212</f>
        <v/>
      </c>
      <c r="R212" s="57">
        <f>C212-M212</f>
        <v/>
      </c>
      <c r="S212" s="55">
        <f>C212-O212</f>
        <v/>
      </c>
      <c r="T212" s="57">
        <f>E212-O212</f>
        <v/>
      </c>
      <c r="U212" s="57">
        <f>G212-O212</f>
        <v/>
      </c>
      <c r="V212" s="57">
        <f>G212-K212</f>
        <v/>
      </c>
      <c r="W212" s="57">
        <f>C212-K212</f>
        <v/>
      </c>
      <c r="X212" s="67">
        <f>I212-G212</f>
        <v/>
      </c>
      <c r="Y212" s="75">
        <f>G212-M212</f>
        <v/>
      </c>
    </row>
    <row r="213">
      <c r="A213" s="52" t="n">
        <v>44179</v>
      </c>
      <c r="B213" s="53" t="n">
        <v>42.1</v>
      </c>
      <c r="C213" s="54">
        <f>myParidad('Flujo de Fondos'!$B$5,A213,B213,'Flujo de Fondos'!$B$7,'Flujo de Fondos'!$B$6)</f>
        <v/>
      </c>
      <c r="D213" s="53" t="n">
        <v>44.3</v>
      </c>
      <c r="E213" s="55">
        <f>myParidad('Flujo de Fondos'!$H$5,$A213,D213,'Flujo de Fondos'!$H$7,'Flujo de Fondos'!$H$6)</f>
        <v/>
      </c>
      <c r="F213" s="53" t="n">
        <v>40.33</v>
      </c>
      <c r="G213" s="54">
        <f>myParidad('Flujo de Fondos'!$N$5,$A213,F213,'Flujo de Fondos'!$N$7,'Flujo de Fondos'!$N$6)</f>
        <v/>
      </c>
      <c r="H213" s="53" t="n">
        <v>41.5</v>
      </c>
      <c r="I213" s="54">
        <f>myParidad('Flujo de Fondos'!$T$5,$A213,H213,'Flujo de Fondos'!$T$7,'Flujo de Fondos'!$T$6)</f>
        <v/>
      </c>
      <c r="J213" s="53" t="n">
        <v>35.6</v>
      </c>
      <c r="K213" s="54">
        <f>myParidad('Flujo de Fondos'!$B$34,$A213,J213,'Flujo de Fondos'!$B$36,'Flujo de Fondos'!$B$35)</f>
        <v/>
      </c>
      <c r="L213" s="53" t="n">
        <v>37.42</v>
      </c>
      <c r="M213" s="54">
        <f>myParidad('Flujo de Fondos'!$H$34,'Paridad usd'!$A213,'Paridad usd'!L213,'Flujo de Fondos'!$H$36,'Flujo de Fondos'!$H$35)</f>
        <v/>
      </c>
      <c r="N213" s="56" t="n">
        <v>34.8</v>
      </c>
      <c r="O213" s="54">
        <f>myParidad('Flujo de Fondos'!$N$34,$A213,N213,'Flujo de Fondos'!$N$36,'Flujo de Fondos'!$N$35)</f>
        <v/>
      </c>
      <c r="P213" s="57">
        <f>C213-G213</f>
        <v/>
      </c>
      <c r="Q213" s="57">
        <f>E213-C213</f>
        <v/>
      </c>
      <c r="R213" s="57">
        <f>C213-M213</f>
        <v/>
      </c>
      <c r="S213" s="55">
        <f>C213-O213</f>
        <v/>
      </c>
      <c r="T213" s="57">
        <f>E213-O213</f>
        <v/>
      </c>
      <c r="U213" s="57">
        <f>G213-O213</f>
        <v/>
      </c>
      <c r="V213" s="57">
        <f>G213-K213</f>
        <v/>
      </c>
      <c r="W213" s="57">
        <f>C213-K213</f>
        <v/>
      </c>
      <c r="X213" s="67">
        <f>I213-G213</f>
        <v/>
      </c>
      <c r="Y213" s="75">
        <f>G213-M213</f>
        <v/>
      </c>
    </row>
    <row r="214">
      <c r="A214" s="52" t="n">
        <v>44176</v>
      </c>
      <c r="B214" s="53" t="n">
        <v>41.92</v>
      </c>
      <c r="C214" s="54">
        <f>myParidad('Flujo de Fondos'!$B$5,A214,B214,'Flujo de Fondos'!$B$7,'Flujo de Fondos'!$B$6)</f>
        <v/>
      </c>
      <c r="D214" s="53" t="n">
        <v>43.69</v>
      </c>
      <c r="E214" s="55">
        <f>myParidad('Flujo de Fondos'!$H$5,$A214,D214,'Flujo de Fondos'!$H$7,'Flujo de Fondos'!$H$6)</f>
        <v/>
      </c>
      <c r="F214" s="53" t="n">
        <v>39.85</v>
      </c>
      <c r="G214" s="54">
        <f>myParidad('Flujo de Fondos'!$N$5,$A214,F214,'Flujo de Fondos'!$N$7,'Flujo de Fondos'!$N$6)</f>
        <v/>
      </c>
      <c r="H214" s="53" t="n">
        <v>40.79</v>
      </c>
      <c r="I214" s="54">
        <f>myParidad('Flujo de Fondos'!$T$5,$A214,H214,'Flujo de Fondos'!$T$7,'Flujo de Fondos'!$T$6)</f>
        <v/>
      </c>
      <c r="J214" s="53" t="n">
        <v>35.6</v>
      </c>
      <c r="K214" s="54">
        <f>myParidad('Flujo de Fondos'!$B$34,$A214,J214,'Flujo de Fondos'!$B$36,'Flujo de Fondos'!$B$35)</f>
        <v/>
      </c>
      <c r="L214" s="53" t="n">
        <v>37.32</v>
      </c>
      <c r="M214" s="54">
        <f>myParidad('Flujo de Fondos'!$H$34,'Paridad usd'!$A214,'Paridad usd'!L214,'Flujo de Fondos'!$H$36,'Flujo de Fondos'!$H$35)</f>
        <v/>
      </c>
      <c r="N214" s="56" t="n">
        <v>34.92</v>
      </c>
      <c r="O214" s="54">
        <f>myParidad('Flujo de Fondos'!$N$34,$A214,N214,'Flujo de Fondos'!$N$36,'Flujo de Fondos'!$N$35)</f>
        <v/>
      </c>
      <c r="P214" s="57">
        <f>C214-G214</f>
        <v/>
      </c>
      <c r="Q214" s="57">
        <f>E214-C214</f>
        <v/>
      </c>
      <c r="R214" s="57">
        <f>C214-M214</f>
        <v/>
      </c>
      <c r="S214" s="55">
        <f>C214-O214</f>
        <v/>
      </c>
      <c r="T214" s="57">
        <f>E214-O214</f>
        <v/>
      </c>
      <c r="U214" s="57">
        <f>G214-O214</f>
        <v/>
      </c>
      <c r="V214" s="57">
        <f>G214-K214</f>
        <v/>
      </c>
      <c r="W214" s="57">
        <f>C214-K214</f>
        <v/>
      </c>
      <c r="X214" s="67">
        <f>I214-G214</f>
        <v/>
      </c>
      <c r="Y214" s="75">
        <f>G214-M214</f>
        <v/>
      </c>
    </row>
    <row r="215">
      <c r="A215" s="52" t="n">
        <v>44175</v>
      </c>
      <c r="B215" s="53" t="n">
        <v>42.12</v>
      </c>
      <c r="C215" s="54">
        <f>myParidad('Flujo de Fondos'!$B$5,A215,B215,'Flujo de Fondos'!$B$7,'Flujo de Fondos'!$B$6)</f>
        <v/>
      </c>
      <c r="D215" s="53" t="n">
        <v>43.5</v>
      </c>
      <c r="E215" s="55">
        <f>myParidad('Flujo de Fondos'!$H$5,$A215,D215,'Flujo de Fondos'!$H$7,'Flujo de Fondos'!$H$6)</f>
        <v/>
      </c>
      <c r="F215" s="53" t="n">
        <v>39.67</v>
      </c>
      <c r="G215" s="54">
        <f>myParidad('Flujo de Fondos'!$N$5,$A215,F215,'Flujo de Fondos'!$N$7,'Flujo de Fondos'!$N$6)</f>
        <v/>
      </c>
      <c r="H215" s="53" t="n">
        <v>40.6</v>
      </c>
      <c r="I215" s="54">
        <f>myParidad('Flujo de Fondos'!$T$5,$A215,H215,'Flujo de Fondos'!$T$7,'Flujo de Fondos'!$T$6)</f>
        <v/>
      </c>
      <c r="J215" s="53" t="n">
        <v>35.51</v>
      </c>
      <c r="K215" s="54">
        <f>myParidad('Flujo de Fondos'!$B$34,$A215,J215,'Flujo de Fondos'!$B$36,'Flujo de Fondos'!$B$35)</f>
        <v/>
      </c>
      <c r="L215" s="53" t="n">
        <v>37.35</v>
      </c>
      <c r="M215" s="54">
        <f>myParidad('Flujo de Fondos'!$H$34,'Paridad usd'!$A215,'Paridad usd'!L215,'Flujo de Fondos'!$H$36,'Flujo de Fondos'!$H$35)</f>
        <v/>
      </c>
      <c r="N215" s="56" t="n">
        <v>34.75</v>
      </c>
      <c r="O215" s="54">
        <f>myParidad('Flujo de Fondos'!$N$34,$A215,N215,'Flujo de Fondos'!$N$36,'Flujo de Fondos'!$N$35)</f>
        <v/>
      </c>
      <c r="P215" s="57">
        <f>C215-G215</f>
        <v/>
      </c>
      <c r="Q215" s="57">
        <f>E215-C215</f>
        <v/>
      </c>
      <c r="R215" s="57">
        <f>C215-M215</f>
        <v/>
      </c>
      <c r="S215" s="55">
        <f>C215-O215</f>
        <v/>
      </c>
      <c r="T215" s="57">
        <f>E215-O215</f>
        <v/>
      </c>
      <c r="U215" s="57">
        <f>G215-O215</f>
        <v/>
      </c>
      <c r="V215" s="57">
        <f>G215-K215</f>
        <v/>
      </c>
      <c r="W215" s="57">
        <f>C215-K215</f>
        <v/>
      </c>
      <c r="X215" s="67">
        <f>I215-G215</f>
        <v/>
      </c>
      <c r="Y215" s="75">
        <f>G215-M215</f>
        <v/>
      </c>
    </row>
    <row r="216">
      <c r="A216" s="52" t="n">
        <v>44174</v>
      </c>
      <c r="B216" s="53" t="n">
        <v>41.7</v>
      </c>
      <c r="C216" s="54">
        <f>myParidad('Flujo de Fondos'!$B$5,A216,B216,'Flujo de Fondos'!$B$7,'Flujo de Fondos'!$B$6)</f>
        <v/>
      </c>
      <c r="D216" s="53" t="n">
        <v>43.5</v>
      </c>
      <c r="E216" s="55">
        <f>myParidad('Flujo de Fondos'!$H$5,$A216,D216,'Flujo de Fondos'!$H$7,'Flujo de Fondos'!$H$6)</f>
        <v/>
      </c>
      <c r="F216" s="53" t="n">
        <v>39.12</v>
      </c>
      <c r="G216" s="54">
        <f>myParidad('Flujo de Fondos'!$N$5,$A216,F216,'Flujo de Fondos'!$N$7,'Flujo de Fondos'!$N$6)</f>
        <v/>
      </c>
      <c r="H216" s="53" t="n">
        <v>40</v>
      </c>
      <c r="I216" s="54">
        <f>myParidad('Flujo de Fondos'!$T$5,$A216,H216,'Flujo de Fondos'!$T$7,'Flujo de Fondos'!$T$6)</f>
        <v/>
      </c>
      <c r="J216" s="53" t="n">
        <v>34.9</v>
      </c>
      <c r="K216" s="54">
        <f>myParidad('Flujo de Fondos'!$B$34,$A216,J216,'Flujo de Fondos'!$B$36,'Flujo de Fondos'!$B$35)</f>
        <v/>
      </c>
      <c r="L216" s="53" t="n">
        <v>37.13</v>
      </c>
      <c r="M216" s="54">
        <f>myParidad('Flujo de Fondos'!$H$34,'Paridad usd'!$A216,'Paridad usd'!L216,'Flujo de Fondos'!$H$36,'Flujo de Fondos'!$H$35)</f>
        <v/>
      </c>
      <c r="N216" s="56" t="n">
        <v>34.47</v>
      </c>
      <c r="O216" s="54">
        <f>myParidad('Flujo de Fondos'!$N$34,$A216,N216,'Flujo de Fondos'!$N$36,'Flujo de Fondos'!$N$35)</f>
        <v/>
      </c>
      <c r="P216" s="57">
        <f>C216-G216</f>
        <v/>
      </c>
      <c r="Q216" s="57">
        <f>E216-C216</f>
        <v/>
      </c>
      <c r="R216" s="57">
        <f>C216-M216</f>
        <v/>
      </c>
      <c r="S216" s="55">
        <f>C216-O216</f>
        <v/>
      </c>
      <c r="T216" s="57">
        <f>E216-O216</f>
        <v/>
      </c>
      <c r="U216" s="57">
        <f>G216-O216</f>
        <v/>
      </c>
      <c r="V216" s="57">
        <f>G216-K216</f>
        <v/>
      </c>
      <c r="W216" s="57">
        <f>C216-K216</f>
        <v/>
      </c>
      <c r="X216" s="67">
        <f>I216-G216</f>
        <v/>
      </c>
      <c r="Y216" s="75">
        <f>G216-M216</f>
        <v/>
      </c>
    </row>
    <row r="217">
      <c r="A217" s="52" t="n">
        <v>44169</v>
      </c>
      <c r="B217" s="53" t="n">
        <v>41.76</v>
      </c>
      <c r="C217" s="54">
        <f>myParidad('Flujo de Fondos'!$B$5,A217,B217,'Flujo de Fondos'!$B$7,'Flujo de Fondos'!$B$6)</f>
        <v/>
      </c>
      <c r="D217" s="53" t="n">
        <v>43.7</v>
      </c>
      <c r="E217" s="55">
        <f>myParidad('Flujo de Fondos'!$H$5,$A217,D217,'Flujo de Fondos'!$H$7,'Flujo de Fondos'!$H$6)</f>
        <v/>
      </c>
      <c r="F217" s="53" t="n">
        <v>38.6</v>
      </c>
      <c r="G217" s="54">
        <f>myParidad('Flujo de Fondos'!$N$5,$A217,F217,'Flujo de Fondos'!$N$7,'Flujo de Fondos'!$N$6)</f>
        <v/>
      </c>
      <c r="H217" s="53" t="n">
        <v>39.94</v>
      </c>
      <c r="I217" s="54">
        <f>myParidad('Flujo de Fondos'!$T$5,$A217,H217,'Flujo de Fondos'!$T$7,'Flujo de Fondos'!$T$6)</f>
        <v/>
      </c>
      <c r="J217" s="53" t="n">
        <v>35.3</v>
      </c>
      <c r="K217" s="54">
        <f>myParidad('Flujo de Fondos'!$B$34,$A217,J217,'Flujo de Fondos'!$B$36,'Flujo de Fondos'!$B$35)</f>
        <v/>
      </c>
      <c r="L217" s="53" t="n">
        <v>37.13</v>
      </c>
      <c r="M217" s="54">
        <f>myParidad('Flujo de Fondos'!$H$34,'Paridad usd'!$A217,'Paridad usd'!L217,'Flujo de Fondos'!$H$36,'Flujo de Fondos'!$H$35)</f>
        <v/>
      </c>
      <c r="N217" s="56" t="n">
        <v>34.47</v>
      </c>
      <c r="O217" s="54">
        <f>myParidad('Flujo de Fondos'!$N$34,$A217,N217,'Flujo de Fondos'!$N$36,'Flujo de Fondos'!$N$35)</f>
        <v/>
      </c>
      <c r="P217" s="57">
        <f>C217-G217</f>
        <v/>
      </c>
      <c r="Q217" s="57">
        <f>E217-C217</f>
        <v/>
      </c>
      <c r="R217" s="57">
        <f>C217-M217</f>
        <v/>
      </c>
      <c r="S217" s="55">
        <f>C217-O217</f>
        <v/>
      </c>
      <c r="T217" s="57">
        <f>E217-O217</f>
        <v/>
      </c>
      <c r="U217" s="57">
        <f>G217-O217</f>
        <v/>
      </c>
      <c r="V217" s="57">
        <f>G217-K217</f>
        <v/>
      </c>
      <c r="W217" s="57">
        <f>C217-K217</f>
        <v/>
      </c>
      <c r="X217" s="67">
        <f>I217-G217</f>
        <v/>
      </c>
      <c r="Y217" s="75">
        <f>G217-M217</f>
        <v/>
      </c>
    </row>
    <row r="218">
      <c r="A218" s="52" t="n">
        <v>44168</v>
      </c>
      <c r="B218" s="53" t="n">
        <v>41.8</v>
      </c>
      <c r="C218" s="54">
        <f>myParidad('Flujo de Fondos'!$B$5,A218,B218,'Flujo de Fondos'!$B$7,'Flujo de Fondos'!$B$6)</f>
        <v/>
      </c>
      <c r="D218" s="53" t="n">
        <v>44</v>
      </c>
      <c r="E218" s="55">
        <f>myParidad('Flujo de Fondos'!$H$5,$A218,D218,'Flujo de Fondos'!$H$7,'Flujo de Fondos'!$H$6)</f>
        <v/>
      </c>
      <c r="F218" s="53" t="n">
        <v>38.84</v>
      </c>
      <c r="G218" s="54">
        <f>myParidad('Flujo de Fondos'!$N$5,$A218,F218,'Flujo de Fondos'!$N$7,'Flujo de Fondos'!$N$6)</f>
        <v/>
      </c>
      <c r="H218" s="53" t="n">
        <v>40.5</v>
      </c>
      <c r="I218" s="54">
        <f>myParidad('Flujo de Fondos'!$T$5,$A218,H218,'Flujo de Fondos'!$T$7,'Flujo de Fondos'!$T$6)</f>
        <v/>
      </c>
      <c r="J218" s="53" t="n">
        <v>35.68</v>
      </c>
      <c r="K218" s="54">
        <f>myParidad('Flujo de Fondos'!$B$34,$A218,J218,'Flujo de Fondos'!$B$36,'Flujo de Fondos'!$B$35)</f>
        <v/>
      </c>
      <c r="L218" s="53" t="n">
        <v>37.39</v>
      </c>
      <c r="M218" s="54">
        <f>myParidad('Flujo de Fondos'!$H$34,'Paridad usd'!$A218,'Paridad usd'!L218,'Flujo de Fondos'!$H$36,'Flujo de Fondos'!$H$35)</f>
        <v/>
      </c>
      <c r="N218" s="56" t="n">
        <v>34.7</v>
      </c>
      <c r="O218" s="54">
        <f>myParidad('Flujo de Fondos'!$N$34,$A218,N218,'Flujo de Fondos'!$N$36,'Flujo de Fondos'!$N$35)</f>
        <v/>
      </c>
      <c r="P218" s="57">
        <f>C218-G218</f>
        <v/>
      </c>
      <c r="Q218" s="57">
        <f>E218-C218</f>
        <v/>
      </c>
      <c r="R218" s="57">
        <f>C218-M218</f>
        <v/>
      </c>
      <c r="S218" s="55">
        <f>C218-O218</f>
        <v/>
      </c>
      <c r="T218" s="57">
        <f>E218-O218</f>
        <v/>
      </c>
      <c r="U218" s="57">
        <f>G218-O218</f>
        <v/>
      </c>
      <c r="V218" s="57">
        <f>G218-K218</f>
        <v/>
      </c>
      <c r="W218" s="57">
        <f>C218-K218</f>
        <v/>
      </c>
      <c r="X218" s="67">
        <f>I218-G218</f>
        <v/>
      </c>
      <c r="Y218" s="75">
        <f>G218-M218</f>
        <v/>
      </c>
    </row>
    <row r="219">
      <c r="A219" s="52" t="n">
        <v>44167</v>
      </c>
      <c r="B219" s="53" t="n">
        <v>41.76</v>
      </c>
      <c r="C219" s="54">
        <f>myParidad('Flujo de Fondos'!$B$5,A219,B219,'Flujo de Fondos'!$B$7,'Flujo de Fondos'!$B$6)</f>
        <v/>
      </c>
      <c r="D219" s="53" t="n">
        <v>44</v>
      </c>
      <c r="E219" s="55">
        <f>myParidad('Flujo de Fondos'!$H$5,$A219,D219,'Flujo de Fondos'!$H$7,'Flujo de Fondos'!$H$6)</f>
        <v/>
      </c>
      <c r="F219" s="53" t="n">
        <v>38.65</v>
      </c>
      <c r="G219" s="54">
        <f>myParidad('Flujo de Fondos'!$N$5,$A219,F219,'Flujo de Fondos'!$N$7,'Flujo de Fondos'!$N$6)</f>
        <v/>
      </c>
      <c r="H219" s="53" t="n">
        <v>40.61</v>
      </c>
      <c r="I219" s="54">
        <f>myParidad('Flujo de Fondos'!$T$5,$A219,H219,'Flujo de Fondos'!$T$7,'Flujo de Fondos'!$T$6)</f>
        <v/>
      </c>
      <c r="J219" s="53" t="n">
        <v>35.6</v>
      </c>
      <c r="K219" s="54">
        <f>myParidad('Flujo de Fondos'!$B$34,$A219,J219,'Flujo de Fondos'!$B$36,'Flujo de Fondos'!$B$35)</f>
        <v/>
      </c>
      <c r="L219" s="53" t="n">
        <v>37.98</v>
      </c>
      <c r="M219" s="54">
        <f>myParidad('Flujo de Fondos'!$H$34,'Paridad usd'!$A219,'Paridad usd'!L219,'Flujo de Fondos'!$H$36,'Flujo de Fondos'!$H$35)</f>
        <v/>
      </c>
      <c r="N219" s="56" t="n">
        <v>34.7</v>
      </c>
      <c r="O219" s="54">
        <f>myParidad('Flujo de Fondos'!$N$34,$A219,N219,'Flujo de Fondos'!$N$36,'Flujo de Fondos'!$N$35)</f>
        <v/>
      </c>
      <c r="P219" s="57">
        <f>C219-G219</f>
        <v/>
      </c>
      <c r="Q219" s="57">
        <f>E219-C219</f>
        <v/>
      </c>
      <c r="R219" s="57">
        <f>C219-M219</f>
        <v/>
      </c>
      <c r="S219" s="55">
        <f>C219-O219</f>
        <v/>
      </c>
      <c r="T219" s="57">
        <f>E219-O219</f>
        <v/>
      </c>
      <c r="U219" s="57">
        <f>G219-O219</f>
        <v/>
      </c>
      <c r="V219" s="57">
        <f>G219-K219</f>
        <v/>
      </c>
      <c r="W219" s="57">
        <f>C219-K219</f>
        <v/>
      </c>
      <c r="X219" s="67">
        <f>I219-G219</f>
        <v/>
      </c>
      <c r="Y219" s="75">
        <f>G219-M219</f>
        <v/>
      </c>
    </row>
    <row r="220">
      <c r="A220" s="52" t="n">
        <v>44166</v>
      </c>
      <c r="B220" s="53" t="n">
        <v>41.86</v>
      </c>
      <c r="C220" s="54">
        <f>myParidad('Flujo de Fondos'!$B$5,A220,B220,'Flujo de Fondos'!$B$7,'Flujo de Fondos'!$B$6)</f>
        <v/>
      </c>
      <c r="D220" s="53" t="n">
        <v>44.22</v>
      </c>
      <c r="E220" s="55">
        <f>myParidad('Flujo de Fondos'!$H$5,$A220,D220,'Flujo de Fondos'!$H$7,'Flujo de Fondos'!$H$6)</f>
        <v/>
      </c>
      <c r="F220" s="53" t="n">
        <v>38.48</v>
      </c>
      <c r="G220" s="54">
        <f>myParidad('Flujo de Fondos'!$N$5,$A220,F220,'Flujo de Fondos'!$N$7,'Flujo de Fondos'!$N$6)</f>
        <v/>
      </c>
      <c r="H220" s="53" t="n">
        <v>40.68</v>
      </c>
      <c r="I220" s="54">
        <f>myParidad('Flujo de Fondos'!$T$5,$A220,H220,'Flujo de Fondos'!$T$7,'Flujo de Fondos'!$T$6)</f>
        <v/>
      </c>
      <c r="J220" s="53" t="n">
        <v>35.36</v>
      </c>
      <c r="K220" s="54">
        <f>myParidad('Flujo de Fondos'!$B$34,$A220,J220,'Flujo de Fondos'!$B$36,'Flujo de Fondos'!$B$35)</f>
        <v/>
      </c>
      <c r="L220" s="53" t="n">
        <v>36.95</v>
      </c>
      <c r="M220" s="54">
        <f>myParidad('Flujo de Fondos'!$H$34,'Paridad usd'!$A220,'Paridad usd'!L220,'Flujo de Fondos'!$H$36,'Flujo de Fondos'!$H$35)</f>
        <v/>
      </c>
      <c r="N220" s="56" t="n">
        <v>34.6</v>
      </c>
      <c r="O220" s="54">
        <f>myParidad('Flujo de Fondos'!$N$34,$A220,N220,'Flujo de Fondos'!$N$36,'Flujo de Fondos'!$N$35)</f>
        <v/>
      </c>
      <c r="P220" s="57">
        <f>C220-G220</f>
        <v/>
      </c>
      <c r="Q220" s="57">
        <f>E220-C220</f>
        <v/>
      </c>
      <c r="R220" s="57">
        <f>C220-M220</f>
        <v/>
      </c>
      <c r="S220" s="55">
        <f>C220-O220</f>
        <v/>
      </c>
      <c r="T220" s="57">
        <f>E220-O220</f>
        <v/>
      </c>
      <c r="U220" s="57">
        <f>G220-O220</f>
        <v/>
      </c>
      <c r="V220" s="57">
        <f>G220-K220</f>
        <v/>
      </c>
      <c r="W220" s="57">
        <f>C220-K220</f>
        <v/>
      </c>
      <c r="X220" s="67">
        <f>I220-G220</f>
        <v/>
      </c>
      <c r="Y220" s="75">
        <f>G220-M220</f>
        <v/>
      </c>
    </row>
    <row r="221">
      <c r="A221" s="52" t="n">
        <v>44165</v>
      </c>
      <c r="B221" s="53" t="n">
        <v>42.2</v>
      </c>
      <c r="C221" s="54">
        <f>myParidad('Flujo de Fondos'!$B$5,A221,B221,'Flujo de Fondos'!$B$7,'Flujo de Fondos'!$B$6)</f>
        <v/>
      </c>
      <c r="D221" s="53" t="n">
        <v>44.16</v>
      </c>
      <c r="E221" s="55">
        <f>myParidad('Flujo de Fondos'!$H$5,$A221,D221,'Flujo de Fondos'!$H$7,'Flujo de Fondos'!$H$6)</f>
        <v/>
      </c>
      <c r="F221" s="53" t="n">
        <v>38.61</v>
      </c>
      <c r="G221" s="54">
        <f>myParidad('Flujo de Fondos'!$N$5,$A221,F221,'Flujo de Fondos'!$N$7,'Flujo de Fondos'!$N$6)</f>
        <v/>
      </c>
      <c r="H221" s="53" t="n">
        <v>40.7</v>
      </c>
      <c r="I221" s="54">
        <f>myParidad('Flujo de Fondos'!$T$5,$A221,H221,'Flujo de Fondos'!$T$7,'Flujo de Fondos'!$T$6)</f>
        <v/>
      </c>
      <c r="J221" s="53" t="n">
        <v>35.99</v>
      </c>
      <c r="K221" s="54">
        <f>myParidad('Flujo de Fondos'!$B$34,$A221,J221,'Flujo de Fondos'!$B$36,'Flujo de Fondos'!$B$35)</f>
        <v/>
      </c>
      <c r="L221" s="53" t="n">
        <v>37.15</v>
      </c>
      <c r="M221" s="54">
        <f>myParidad('Flujo de Fondos'!$H$34,'Paridad usd'!$A221,'Paridad usd'!L221,'Flujo de Fondos'!$H$36,'Flujo de Fondos'!$H$35)</f>
        <v/>
      </c>
      <c r="N221" s="56" t="n">
        <v>35</v>
      </c>
      <c r="O221" s="54">
        <f>myParidad('Flujo de Fondos'!$N$34,$A221,N221,'Flujo de Fondos'!$N$36,'Flujo de Fondos'!$N$35)</f>
        <v/>
      </c>
      <c r="P221" s="57">
        <f>C221-G221</f>
        <v/>
      </c>
      <c r="Q221" s="57">
        <f>E221-C221</f>
        <v/>
      </c>
      <c r="R221" s="57">
        <f>C221-M221</f>
        <v/>
      </c>
      <c r="S221" s="55">
        <f>C221-O221</f>
        <v/>
      </c>
      <c r="T221" s="57">
        <f>E221-O221</f>
        <v/>
      </c>
      <c r="U221" s="57">
        <f>G221-O221</f>
        <v/>
      </c>
      <c r="V221" s="57">
        <f>G221-K221</f>
        <v/>
      </c>
      <c r="W221" s="57">
        <f>C221-K221</f>
        <v/>
      </c>
      <c r="X221" s="67">
        <f>I221-G221</f>
        <v/>
      </c>
      <c r="Y221" s="75">
        <f>G221-M221</f>
        <v/>
      </c>
    </row>
    <row r="222">
      <c r="A222" s="52" t="n">
        <v>44162</v>
      </c>
      <c r="B222" s="53" t="n">
        <v>42.97</v>
      </c>
      <c r="C222" s="54">
        <f>myParidad('Flujo de Fondos'!$B$5,A222,B222,'Flujo de Fondos'!$B$7,'Flujo de Fondos'!$B$6)</f>
        <v/>
      </c>
      <c r="D222" s="53" t="n">
        <v>45.1</v>
      </c>
      <c r="E222" s="55">
        <f>myParidad('Flujo de Fondos'!$H$5,$A222,D222,'Flujo de Fondos'!$H$7,'Flujo de Fondos'!$H$6)</f>
        <v/>
      </c>
      <c r="F222" s="53" t="n">
        <v>39.01</v>
      </c>
      <c r="G222" s="54">
        <f>myParidad('Flujo de Fondos'!$N$5,$A222,F222,'Flujo de Fondos'!$N$7,'Flujo de Fondos'!$N$6)</f>
        <v/>
      </c>
      <c r="H222" s="53" t="n">
        <v>41.49</v>
      </c>
      <c r="I222" s="54">
        <f>myParidad('Flujo de Fondos'!$T$5,$A222,H222,'Flujo de Fondos'!$T$7,'Flujo de Fondos'!$T$6)</f>
        <v/>
      </c>
      <c r="J222" s="53" t="n">
        <v>36.23</v>
      </c>
      <c r="K222" s="54">
        <f>myParidad('Flujo de Fondos'!$B$34,$A222,J222,'Flujo de Fondos'!$B$36,'Flujo de Fondos'!$B$35)</f>
        <v/>
      </c>
      <c r="L222" s="53" t="n">
        <v>37.5</v>
      </c>
      <c r="M222" s="54">
        <f>myParidad('Flujo de Fondos'!$H$34,'Paridad usd'!$A222,'Paridad usd'!L222,'Flujo de Fondos'!$H$36,'Flujo de Fondos'!$H$35)</f>
        <v/>
      </c>
      <c r="N222" s="56" t="n">
        <v>35</v>
      </c>
      <c r="O222" s="54">
        <f>myParidad('Flujo de Fondos'!$N$34,$A222,N222,'Flujo de Fondos'!$N$36,'Flujo de Fondos'!$N$35)</f>
        <v/>
      </c>
      <c r="P222" s="57">
        <f>C222-G222</f>
        <v/>
      </c>
      <c r="Q222" s="57">
        <f>E222-C222</f>
        <v/>
      </c>
      <c r="R222" s="57">
        <f>C222-M222</f>
        <v/>
      </c>
      <c r="S222" s="55">
        <f>C222-O222</f>
        <v/>
      </c>
      <c r="T222" s="57">
        <f>E222-O222</f>
        <v/>
      </c>
      <c r="U222" s="57">
        <f>G222-O222</f>
        <v/>
      </c>
      <c r="V222" s="57">
        <f>G222-K222</f>
        <v/>
      </c>
      <c r="W222" s="57">
        <f>C222-K222</f>
        <v/>
      </c>
      <c r="X222" s="67">
        <f>I222-G222</f>
        <v/>
      </c>
      <c r="Y222" s="75">
        <f>G222-M222</f>
        <v/>
      </c>
    </row>
    <row r="223">
      <c r="A223" s="52" t="n">
        <v>44161</v>
      </c>
      <c r="B223" s="53" t="n">
        <v>43.2</v>
      </c>
      <c r="C223" s="54">
        <f>myParidad('Flujo de Fondos'!$B$5,A223,B223,'Flujo de Fondos'!$B$7,'Flujo de Fondos'!$B$6)</f>
        <v/>
      </c>
      <c r="D223" s="53" t="n">
        <v>45.1</v>
      </c>
      <c r="E223" s="55">
        <f>myParidad('Flujo de Fondos'!$H$5,$A223,D223,'Flujo de Fondos'!$H$7,'Flujo de Fondos'!$H$6)</f>
        <v/>
      </c>
      <c r="F223" s="53" t="n">
        <v>39</v>
      </c>
      <c r="G223" s="54">
        <f>myParidad('Flujo de Fondos'!$N$5,$A223,F223,'Flujo de Fondos'!$N$7,'Flujo de Fondos'!$N$6)</f>
        <v/>
      </c>
      <c r="H223" s="53" t="n">
        <v>41.2</v>
      </c>
      <c r="I223" s="54">
        <f>myParidad('Flujo de Fondos'!$T$5,$A223,H223,'Flujo de Fondos'!$T$7,'Flujo de Fondos'!$T$6)</f>
        <v/>
      </c>
      <c r="J223" s="53" t="n">
        <v>35.71</v>
      </c>
      <c r="K223" s="54">
        <f>myParidad('Flujo de Fondos'!$B$34,$A223,J223,'Flujo de Fondos'!$B$36,'Flujo de Fondos'!$B$35)</f>
        <v/>
      </c>
      <c r="L223" s="53" t="n">
        <v>37.51</v>
      </c>
      <c r="M223" s="54">
        <f>myParidad('Flujo de Fondos'!$H$34,'Paridad usd'!$A223,'Paridad usd'!L223,'Flujo de Fondos'!$H$36,'Flujo de Fondos'!$H$35)</f>
        <v/>
      </c>
      <c r="N223" s="56" t="n">
        <v>34.9</v>
      </c>
      <c r="O223" s="54">
        <f>myParidad('Flujo de Fondos'!$N$34,$A223,N223,'Flujo de Fondos'!$N$36,'Flujo de Fondos'!$N$35)</f>
        <v/>
      </c>
      <c r="P223" s="57">
        <f>C223-G223</f>
        <v/>
      </c>
      <c r="Q223" s="57">
        <f>E223-C223</f>
        <v/>
      </c>
      <c r="R223" s="57">
        <f>C223-M223</f>
        <v/>
      </c>
      <c r="S223" s="55">
        <f>C223-O223</f>
        <v/>
      </c>
      <c r="T223" s="57">
        <f>E223-O223</f>
        <v/>
      </c>
      <c r="U223" s="57">
        <f>G223-O223</f>
        <v/>
      </c>
      <c r="V223" s="57">
        <f>G223-K223</f>
        <v/>
      </c>
      <c r="W223" s="57">
        <f>C223-K223</f>
        <v/>
      </c>
      <c r="X223" s="67">
        <f>I223-G223</f>
        <v/>
      </c>
      <c r="Y223" s="75">
        <f>G223-M223</f>
        <v/>
      </c>
    </row>
    <row r="224">
      <c r="A224" s="52" t="n">
        <v>44160</v>
      </c>
      <c r="B224" s="53" t="n">
        <v>43.39</v>
      </c>
      <c r="C224" s="54">
        <f>myParidad('Flujo de Fondos'!$B$5,A224,B224,'Flujo de Fondos'!$B$7,'Flujo de Fondos'!$B$6)</f>
        <v/>
      </c>
      <c r="D224" s="53" t="n">
        <v>45</v>
      </c>
      <c r="E224" s="55">
        <f>myParidad('Flujo de Fondos'!$H$5,$A224,D224,'Flujo de Fondos'!$H$7,'Flujo de Fondos'!$H$6)</f>
        <v/>
      </c>
      <c r="F224" s="53" t="n">
        <v>39.2</v>
      </c>
      <c r="G224" s="54">
        <f>myParidad('Flujo de Fondos'!$N$5,$A224,F224,'Flujo de Fondos'!$N$7,'Flujo de Fondos'!$N$6)</f>
        <v/>
      </c>
      <c r="H224" s="53" t="n">
        <v>41.6</v>
      </c>
      <c r="I224" s="54">
        <f>myParidad('Flujo de Fondos'!$T$5,$A224,H224,'Flujo de Fondos'!$T$7,'Flujo de Fondos'!$T$6)</f>
        <v/>
      </c>
      <c r="J224" s="53" t="n">
        <v>36.4</v>
      </c>
      <c r="K224" s="54">
        <f>myParidad('Flujo de Fondos'!$B$34,$A224,J224,'Flujo de Fondos'!$B$36,'Flujo de Fondos'!$B$35)</f>
        <v/>
      </c>
      <c r="L224" s="53" t="n">
        <v>38</v>
      </c>
      <c r="M224" s="54">
        <f>myParidad('Flujo de Fondos'!$H$34,'Paridad usd'!$A224,'Paridad usd'!L224,'Flujo de Fondos'!$H$36,'Flujo de Fondos'!$H$35)</f>
        <v/>
      </c>
      <c r="N224" s="56" t="n">
        <v>35.4</v>
      </c>
      <c r="O224" s="54">
        <f>myParidad('Flujo de Fondos'!$N$34,$A219,N224,'Flujo de Fondos'!$N$36,'Flujo de Fondos'!$N$35)</f>
        <v/>
      </c>
      <c r="P224" s="57">
        <f>C224-G224</f>
        <v/>
      </c>
      <c r="Q224" s="57">
        <f>E224-C224</f>
        <v/>
      </c>
      <c r="R224" s="57">
        <f>C224-M224</f>
        <v/>
      </c>
      <c r="S224" s="55">
        <f>C224-O224</f>
        <v/>
      </c>
      <c r="T224" s="57">
        <f>E224-O224</f>
        <v/>
      </c>
      <c r="U224" s="57">
        <f>G224-O224</f>
        <v/>
      </c>
      <c r="V224" s="57">
        <f>G224-K224</f>
        <v/>
      </c>
      <c r="W224" s="57">
        <f>C224-K224</f>
        <v/>
      </c>
      <c r="X224" s="67">
        <f>I224-G224</f>
        <v/>
      </c>
      <c r="Y224" s="75">
        <f>G224-M224</f>
        <v/>
      </c>
    </row>
    <row r="225">
      <c r="A225" s="52" t="n">
        <v>44159</v>
      </c>
      <c r="B225" s="53" t="n">
        <v>42.65</v>
      </c>
      <c r="C225" s="54">
        <f>myParidad('Flujo de Fondos'!$B$5,A225,B225,'Flujo de Fondos'!$B$7,'Flujo de Fondos'!$B$6)</f>
        <v/>
      </c>
      <c r="D225" s="53" t="n">
        <v>44.31</v>
      </c>
      <c r="E225" s="55">
        <f>myParidad('Flujo de Fondos'!$H$5,$A225,D225,'Flujo de Fondos'!$H$7,'Flujo de Fondos'!$H$6)</f>
        <v/>
      </c>
      <c r="F225" s="53" t="n">
        <v>38.85</v>
      </c>
      <c r="G225" s="54">
        <f>myParidad('Flujo de Fondos'!$N$5,$A225,F225,'Flujo de Fondos'!$N$7,'Flujo de Fondos'!$N$6)</f>
        <v/>
      </c>
      <c r="H225" s="53" t="n">
        <v>41.2</v>
      </c>
      <c r="I225" s="54">
        <f>myParidad('Flujo de Fondos'!$T$5,$A225,H225,'Flujo de Fondos'!$T$7,'Flujo de Fondos'!$T$6)</f>
        <v/>
      </c>
      <c r="J225" s="53" t="n">
        <v>36.18</v>
      </c>
      <c r="K225" s="54">
        <f>myParidad('Flujo de Fondos'!$B$34,$A225,J225,'Flujo de Fondos'!$B$36,'Flujo de Fondos'!$B$35)</f>
        <v/>
      </c>
      <c r="L225" s="58" t="n">
        <v>38.05</v>
      </c>
      <c r="M225" s="54">
        <f>myParidad('Flujo de Fondos'!$H$34,'Paridad usd'!$A225,'Paridad usd'!L225,'Flujo de Fondos'!$H$36,'Flujo de Fondos'!$H$35)</f>
        <v/>
      </c>
      <c r="N225" s="56" t="n">
        <v>35</v>
      </c>
      <c r="O225" s="54">
        <f>myParidad('Flujo de Fondos'!$N$34,'Paridad usd'!$A225,'Paridad usd'!N225,'Flujo de Fondos'!$N$36,'Flujo de Fondos'!$N$35)</f>
        <v/>
      </c>
      <c r="P225" s="57">
        <f>C225-G225</f>
        <v/>
      </c>
      <c r="Q225" s="57">
        <f>E225-C225</f>
        <v/>
      </c>
      <c r="R225" s="57">
        <f>C225-M225</f>
        <v/>
      </c>
      <c r="S225" s="55">
        <f>C225-O225</f>
        <v/>
      </c>
      <c r="T225" s="57">
        <f>E225-O225</f>
        <v/>
      </c>
      <c r="U225" s="57">
        <f>G225-O225</f>
        <v/>
      </c>
      <c r="V225" s="57">
        <f>G225-K225</f>
        <v/>
      </c>
      <c r="W225" s="57">
        <f>C225-K225</f>
        <v/>
      </c>
      <c r="X225" s="67">
        <f>I225-G225</f>
        <v/>
      </c>
      <c r="Y225" s="75">
        <f>G225-M225</f>
        <v/>
      </c>
    </row>
    <row r="226">
      <c r="A226" s="52" t="n">
        <v>44155</v>
      </c>
      <c r="B226" s="53" t="n">
        <v>42.2</v>
      </c>
      <c r="C226" s="54">
        <f>myParidad('Flujo de Fondos'!$B$5,A226,B226,'Flujo de Fondos'!$B$7,'Flujo de Fondos'!$B$6)</f>
        <v/>
      </c>
      <c r="D226" s="53" t="n">
        <v>44.01</v>
      </c>
      <c r="E226" s="55">
        <f>myParidad('Flujo de Fondos'!$H$5,$A226,D226,'Flujo de Fondos'!$H$7,'Flujo de Fondos'!$H$6)</f>
        <v/>
      </c>
      <c r="F226" s="53" t="n">
        <v>39.05</v>
      </c>
      <c r="G226" s="54">
        <f>myParidad('Flujo de Fondos'!$N$5,$A226,F226,'Flujo de Fondos'!$N$7,'Flujo de Fondos'!$N$6)</f>
        <v/>
      </c>
      <c r="H226" s="53" t="n">
        <v>40.85</v>
      </c>
      <c r="I226" s="54">
        <f>myParidad('Flujo de Fondos'!$T$5,$A226,H226,'Flujo de Fondos'!$T$7,'Flujo de Fondos'!$T$6)</f>
        <v/>
      </c>
      <c r="J226" s="53" t="n">
        <v>36.75</v>
      </c>
      <c r="K226" s="54">
        <f>myParidad('Flujo de Fondos'!$B$34,$A226,J226,'Flujo de Fondos'!$B$36,'Flujo de Fondos'!$B$35)</f>
        <v/>
      </c>
      <c r="L226" s="53" t="n">
        <v>38.79</v>
      </c>
      <c r="M226" s="54">
        <f>myParidad('Flujo de Fondos'!$H$34,'Paridad usd'!$A226,'Paridad usd'!L226,'Flujo de Fondos'!$H$36,'Flujo de Fondos'!$H$35)</f>
        <v/>
      </c>
      <c r="N226" s="56" t="n">
        <v>35.2</v>
      </c>
      <c r="O226" s="54">
        <f>myParidad('Flujo de Fondos'!$N$34,'Paridad usd'!$A226,'Paridad usd'!N226,'Flujo de Fondos'!$N$36,'Flujo de Fondos'!$N$35)</f>
        <v/>
      </c>
      <c r="P226" s="57">
        <f>C226-G226</f>
        <v/>
      </c>
      <c r="Q226" s="57">
        <f>E226-C226</f>
        <v/>
      </c>
      <c r="R226" s="57">
        <f>C226-M226</f>
        <v/>
      </c>
      <c r="S226" s="55">
        <f>C226-O226</f>
        <v/>
      </c>
      <c r="T226" s="57">
        <f>E226-O226</f>
        <v/>
      </c>
      <c r="U226" s="57">
        <f>G226-O226</f>
        <v/>
      </c>
      <c r="V226" s="57">
        <f>G226-K226</f>
        <v/>
      </c>
      <c r="W226" s="57">
        <f>C226-K226</f>
        <v/>
      </c>
      <c r="X226" s="67">
        <f>I226-G226</f>
        <v/>
      </c>
      <c r="Y226" s="75">
        <f>G226-M226</f>
        <v/>
      </c>
    </row>
    <row r="227">
      <c r="A227" s="52" t="n">
        <v>44154</v>
      </c>
      <c r="B227" s="53" t="n">
        <v>42.3</v>
      </c>
      <c r="C227" s="54">
        <f>myParidad('Flujo de Fondos'!$B$5,A227,B227,'Flujo de Fondos'!$B$7,'Flujo de Fondos'!$B$6)</f>
        <v/>
      </c>
      <c r="D227" s="53" t="n">
        <v>44.5</v>
      </c>
      <c r="E227" s="55">
        <f>myParidad('Flujo de Fondos'!$H$5,$A227,D227,'Flujo de Fondos'!$H$7,'Flujo de Fondos'!$H$6)</f>
        <v/>
      </c>
      <c r="F227" s="53" t="n">
        <v>39.43</v>
      </c>
      <c r="G227" s="54">
        <f>myParidad('Flujo de Fondos'!$N$5,$A227,F227,'Flujo de Fondos'!$N$7,'Flujo de Fondos'!$N$6)</f>
        <v/>
      </c>
      <c r="H227" s="53" t="n">
        <v>40.9</v>
      </c>
      <c r="I227" s="54">
        <f>myParidad('Flujo de Fondos'!$T$5,$A227,H227,'Flujo de Fondos'!$T$7,'Flujo de Fondos'!$T$6)</f>
        <v/>
      </c>
      <c r="J227" s="53" t="n">
        <v>36.89</v>
      </c>
      <c r="K227" s="54">
        <f>myParidad('Flujo de Fondos'!$B$34,$A227,J227,'Flujo de Fondos'!$B$36,'Flujo de Fondos'!$B$35)</f>
        <v/>
      </c>
      <c r="L227" s="53" t="n">
        <v>39</v>
      </c>
      <c r="M227" s="54">
        <f>myParidad('Flujo de Fondos'!$H$34,'Paridad usd'!$A227,'Paridad usd'!L227,'Flujo de Fondos'!$H$36,'Flujo de Fondos'!$H$35)</f>
        <v/>
      </c>
      <c r="N227" s="56" t="n">
        <v>35.25</v>
      </c>
      <c r="O227" s="54">
        <f>myParidad('Flujo de Fondos'!$N$34,'Paridad usd'!$A227,'Paridad usd'!N227,'Flujo de Fondos'!$N$36,'Flujo de Fondos'!$N$35)</f>
        <v/>
      </c>
      <c r="P227" s="57">
        <f>C227-G227</f>
        <v/>
      </c>
      <c r="Q227" s="57">
        <f>E227-C227</f>
        <v/>
      </c>
      <c r="R227" s="57">
        <f>C227-M227</f>
        <v/>
      </c>
      <c r="S227" s="55">
        <f>C227-O227</f>
        <v/>
      </c>
      <c r="T227" s="57">
        <f>E227-O227</f>
        <v/>
      </c>
      <c r="U227" s="57">
        <f>G227-O227</f>
        <v/>
      </c>
      <c r="V227" s="57">
        <f>G227-K227</f>
        <v/>
      </c>
      <c r="W227" s="57">
        <f>C227-K227</f>
        <v/>
      </c>
      <c r="X227" s="67">
        <f>I227-G227</f>
        <v/>
      </c>
      <c r="Y227" s="75">
        <f>G227-M227</f>
        <v/>
      </c>
    </row>
    <row r="228">
      <c r="A228" s="52" t="n">
        <v>44153</v>
      </c>
      <c r="B228" s="53" t="n">
        <v>43.5</v>
      </c>
      <c r="C228" s="54">
        <f>myParidad('Flujo de Fondos'!$B$5,A228,B228,'Flujo de Fondos'!$B$7,'Flujo de Fondos'!$B$6)</f>
        <v/>
      </c>
      <c r="D228" s="53" t="n">
        <v>44.5</v>
      </c>
      <c r="E228" s="55">
        <f>myParidad('Flujo de Fondos'!$H$5,$A228,D228,'Flujo de Fondos'!$H$7,'Flujo de Fondos'!$H$6)</f>
        <v/>
      </c>
      <c r="F228" s="53" t="n">
        <v>39.74</v>
      </c>
      <c r="G228" s="54">
        <f>myParidad('Flujo de Fondos'!$N$5,$A228,F228,'Flujo de Fondos'!$N$7,'Flujo de Fondos'!$N$6)</f>
        <v/>
      </c>
      <c r="H228" s="53" t="n">
        <v>41.41</v>
      </c>
      <c r="I228" s="54">
        <f>myParidad('Flujo de Fondos'!$T$5,$A228,H228,'Flujo de Fondos'!$T$7,'Flujo de Fondos'!$T$6)</f>
        <v/>
      </c>
      <c r="J228" s="53" t="n">
        <v>37.5</v>
      </c>
      <c r="K228" s="54">
        <f>myParidad('Flujo de Fondos'!$B$34,$A228,J228,'Flujo de Fondos'!$B$36,'Flujo de Fondos'!$B$35)</f>
        <v/>
      </c>
      <c r="L228" s="53" t="n">
        <v>39.4</v>
      </c>
      <c r="M228" s="54">
        <f>myParidad('Flujo de Fondos'!$H$34,'Paridad usd'!$A228,'Paridad usd'!L228,'Flujo de Fondos'!$H$36,'Flujo de Fondos'!$H$35)</f>
        <v/>
      </c>
      <c r="N228" s="56" t="n">
        <v>35.65</v>
      </c>
      <c r="O228" s="54">
        <f>myParidad('Flujo de Fondos'!$N$34,'Paridad usd'!$A228,'Paridad usd'!N228,'Flujo de Fondos'!$N$36,'Flujo de Fondos'!$N$35)</f>
        <v/>
      </c>
      <c r="P228" s="57">
        <f>C228-G228</f>
        <v/>
      </c>
      <c r="Q228" s="57">
        <f>E228-C228</f>
        <v/>
      </c>
      <c r="R228" s="57">
        <f>C228-M228</f>
        <v/>
      </c>
      <c r="S228" s="55">
        <f>C228-O228</f>
        <v/>
      </c>
      <c r="T228" s="57">
        <f>E228-O228</f>
        <v/>
      </c>
      <c r="U228" s="57">
        <f>G228-O228</f>
        <v/>
      </c>
      <c r="V228" s="57">
        <f>G228-K228</f>
        <v/>
      </c>
      <c r="W228" s="57">
        <f>C228-K228</f>
        <v/>
      </c>
      <c r="X228" s="67">
        <f>I228-G228</f>
        <v/>
      </c>
      <c r="Y228" s="75">
        <f>G228-M228</f>
        <v/>
      </c>
    </row>
    <row r="229">
      <c r="A229" s="52" t="n">
        <v>44152</v>
      </c>
      <c r="B229" s="53" t="n">
        <v>44.05</v>
      </c>
      <c r="C229" s="54">
        <f>myParidad('Flujo de Fondos'!$B$5,A229,B229,'Flujo de Fondos'!$B$7,'Flujo de Fondos'!$B$6)</f>
        <v/>
      </c>
      <c r="D229" s="53" t="n">
        <v>45.7</v>
      </c>
      <c r="E229" s="55">
        <f>myParidad('Flujo de Fondos'!$H$5,$A229,D229,'Flujo de Fondos'!$H$7,'Flujo de Fondos'!$H$6)</f>
        <v/>
      </c>
      <c r="F229" s="53" t="n">
        <v>40.18</v>
      </c>
      <c r="G229" s="54">
        <f>myParidad('Flujo de Fondos'!$N$5,$A229,F229,'Flujo de Fondos'!$N$7,'Flujo de Fondos'!$N$6)</f>
        <v/>
      </c>
      <c r="H229" s="53" t="n">
        <v>41.69</v>
      </c>
      <c r="I229" s="54">
        <f>myParidad('Flujo de Fondos'!$T$5,$A229,H229,'Flujo de Fondos'!$T$7,'Flujo de Fondos'!$T$6)</f>
        <v/>
      </c>
      <c r="J229" s="53" t="n">
        <v>37.2</v>
      </c>
      <c r="K229" s="54">
        <f>myParidad('Flujo de Fondos'!$B$34,$A229,J229,'Flujo de Fondos'!$B$36,'Flujo de Fondos'!$B$35)</f>
        <v/>
      </c>
      <c r="L229" s="53" t="n">
        <v>39.65</v>
      </c>
      <c r="M229" s="54">
        <f>myParidad('Flujo de Fondos'!$H$34,'Paridad usd'!$A229,'Paridad usd'!L229,'Flujo de Fondos'!$H$36,'Flujo de Fondos'!$H$35)</f>
        <v/>
      </c>
      <c r="N229" s="56" t="n">
        <v>35.8</v>
      </c>
      <c r="O229" s="54">
        <f>myParidad('Flujo de Fondos'!$N$34,'Paridad usd'!$A229,'Paridad usd'!N229,'Flujo de Fondos'!$N$36,'Flujo de Fondos'!$N$35)</f>
        <v/>
      </c>
      <c r="P229" s="57">
        <f>C229-G229</f>
        <v/>
      </c>
      <c r="Q229" s="57">
        <f>E229-C229</f>
        <v/>
      </c>
      <c r="R229" s="57">
        <f>C229-M229</f>
        <v/>
      </c>
      <c r="S229" s="55">
        <f>C229-O229</f>
        <v/>
      </c>
      <c r="T229" s="57">
        <f>E229-O229</f>
        <v/>
      </c>
      <c r="U229" s="57">
        <f>G229-O229</f>
        <v/>
      </c>
      <c r="V229" s="57">
        <f>G229-K229</f>
        <v/>
      </c>
      <c r="W229" s="57">
        <f>C229-K229</f>
        <v/>
      </c>
      <c r="X229" s="67">
        <f>I229-G229</f>
        <v/>
      </c>
      <c r="Y229" s="75">
        <f>G229-M229</f>
        <v/>
      </c>
    </row>
    <row r="230">
      <c r="A230" s="52" t="n">
        <v>44151</v>
      </c>
      <c r="B230" s="53" t="n">
        <v>45</v>
      </c>
      <c r="C230" s="54">
        <f>myParidad('Flujo de Fondos'!$B$5,A230,B230,'Flujo de Fondos'!$B$7,'Flujo de Fondos'!$B$6)</f>
        <v/>
      </c>
      <c r="D230" s="53" t="n">
        <v>46.01</v>
      </c>
      <c r="E230" s="55">
        <f>myParidad('Flujo de Fondos'!$H$5,$A230,D230,'Flujo de Fondos'!$H$7,'Flujo de Fondos'!$H$6)</f>
        <v/>
      </c>
      <c r="F230" s="53" t="n">
        <v>40.26</v>
      </c>
      <c r="G230" s="54">
        <f>myParidad('Flujo de Fondos'!$N$5,$A230,F230,'Flujo de Fondos'!$N$7,'Flujo de Fondos'!$N$6)</f>
        <v/>
      </c>
      <c r="H230" s="53" t="n">
        <v>42.84</v>
      </c>
      <c r="I230" s="54">
        <f>myParidad('Flujo de Fondos'!$T$5,$A230,H230,'Flujo de Fondos'!$T$7,'Flujo de Fondos'!$T$6)</f>
        <v/>
      </c>
      <c r="J230" s="53" t="n">
        <v>37.25</v>
      </c>
      <c r="K230" s="54">
        <f>myParidad('Flujo de Fondos'!$B$34,$A230,J230,'Flujo de Fondos'!$B$36,'Flujo de Fondos'!$B$35)</f>
        <v/>
      </c>
      <c r="L230" s="53" t="n">
        <v>39.8</v>
      </c>
      <c r="M230" s="54">
        <f>myParidad('Flujo de Fondos'!$H$34,'Paridad usd'!$A230,'Paridad usd'!L230,'Flujo de Fondos'!$H$36,'Flujo de Fondos'!$H$35)</f>
        <v/>
      </c>
      <c r="N230" s="56" t="n">
        <v>36.18</v>
      </c>
      <c r="O230" s="54">
        <f>myParidad('Flujo de Fondos'!$N$34,'Paridad usd'!$A230,'Paridad usd'!N230,'Flujo de Fondos'!$N$36,'Flujo de Fondos'!$N$35)</f>
        <v/>
      </c>
      <c r="P230" s="57">
        <f>C230-G230</f>
        <v/>
      </c>
      <c r="Q230" s="57">
        <f>E230-C230</f>
        <v/>
      </c>
      <c r="R230" s="57">
        <f>C230-M230</f>
        <v/>
      </c>
      <c r="S230" s="55">
        <f>C230-O230</f>
        <v/>
      </c>
      <c r="T230" s="57">
        <f>E230-O230</f>
        <v/>
      </c>
      <c r="U230" s="57">
        <f>G230-O230</f>
        <v/>
      </c>
      <c r="V230" s="57">
        <f>G230-K230</f>
        <v/>
      </c>
      <c r="W230" s="57">
        <f>C230-K230</f>
        <v/>
      </c>
      <c r="X230" s="67">
        <f>I230-G230</f>
        <v/>
      </c>
      <c r="Y230" s="75">
        <f>G230-M230</f>
        <v/>
      </c>
    </row>
    <row r="231">
      <c r="A231" s="52" t="n">
        <v>44148</v>
      </c>
      <c r="B231" s="53" t="n">
        <v>45</v>
      </c>
      <c r="C231" s="54">
        <f>myParidad('Flujo de Fondos'!$B$5,A231,B231,'Flujo de Fondos'!$B$7,'Flujo de Fondos'!$B$6)</f>
        <v/>
      </c>
      <c r="D231" s="53" t="n">
        <v>46.25</v>
      </c>
      <c r="E231" s="55">
        <f>myParidad('Flujo de Fondos'!$H$5,$A231,D231,'Flujo de Fondos'!$H$7,'Flujo de Fondos'!$H$6)</f>
        <v/>
      </c>
      <c r="F231" s="53" t="n">
        <v>39.9</v>
      </c>
      <c r="G231" s="54">
        <f>myParidad('Flujo de Fondos'!$N$5,$A231,F231,'Flujo de Fondos'!$N$7,'Flujo de Fondos'!$N$6)</f>
        <v/>
      </c>
      <c r="H231" s="53" t="n">
        <v>42.5</v>
      </c>
      <c r="I231" s="54">
        <f>myParidad('Flujo de Fondos'!$T$5,$A231,H231,'Flujo de Fondos'!$T$7,'Flujo de Fondos'!$T$6)</f>
        <v/>
      </c>
      <c r="J231" s="53" t="n">
        <v>36.83</v>
      </c>
      <c r="K231" s="54">
        <f>myParidad('Flujo de Fondos'!$B$34,$A231,J231,'Flujo de Fondos'!$B$36,'Flujo de Fondos'!$B$35)</f>
        <v/>
      </c>
      <c r="L231" s="53" t="n">
        <v>39.67</v>
      </c>
      <c r="M231" s="54">
        <f>myParidad('Flujo de Fondos'!$H$34,'Paridad usd'!$A231,'Paridad usd'!L231,'Flujo de Fondos'!$H$36,'Flujo de Fondos'!$H$35)</f>
        <v/>
      </c>
      <c r="N231" s="56" t="n">
        <v>35.89</v>
      </c>
      <c r="O231" s="54">
        <f>myParidad('Flujo de Fondos'!$N$34,'Paridad usd'!$A231,'Paridad usd'!N231,'Flujo de Fondos'!$N$36,'Flujo de Fondos'!$N$35)</f>
        <v/>
      </c>
      <c r="P231" s="57">
        <f>C231-G231</f>
        <v/>
      </c>
      <c r="Q231" s="57">
        <f>E231-C231</f>
        <v/>
      </c>
      <c r="R231" s="57">
        <f>C231-M231</f>
        <v/>
      </c>
      <c r="S231" s="55">
        <f>C231-O231</f>
        <v/>
      </c>
      <c r="T231" s="57">
        <f>E231-O231</f>
        <v/>
      </c>
      <c r="U231" s="57">
        <f>G231-O231</f>
        <v/>
      </c>
      <c r="V231" s="57">
        <f>G231-K231</f>
        <v/>
      </c>
      <c r="W231" s="57">
        <f>C231-K231</f>
        <v/>
      </c>
      <c r="X231" s="67">
        <f>I231-G231</f>
        <v/>
      </c>
      <c r="Y231" s="75">
        <f>G231-M231</f>
        <v/>
      </c>
    </row>
    <row r="232">
      <c r="A232" s="52" t="n">
        <v>44147</v>
      </c>
      <c r="B232" s="53" t="n">
        <v>44</v>
      </c>
      <c r="C232" s="54">
        <f>myParidad('Flujo de Fondos'!$B$5,A232,B232,'Flujo de Fondos'!$B$7,'Flujo de Fondos'!$B$6)</f>
        <v/>
      </c>
      <c r="D232" s="53" t="n">
        <v>46.25</v>
      </c>
      <c r="E232" s="55">
        <f>myParidad('Flujo de Fondos'!$H$5,$A232,D232,'Flujo de Fondos'!$H$7,'Flujo de Fondos'!$H$6)</f>
        <v/>
      </c>
      <c r="F232" s="53" t="n">
        <v>39.47</v>
      </c>
      <c r="G232" s="54">
        <f>myParidad('Flujo de Fondos'!$N$5,$A232,F232,'Flujo de Fondos'!$N$7,'Flujo de Fondos'!$N$6)</f>
        <v/>
      </c>
      <c r="H232" s="53" t="n">
        <v>42.25</v>
      </c>
      <c r="I232" s="54">
        <f>myParidad('Flujo de Fondos'!$T$5,$A232,H232,'Flujo de Fondos'!$T$7,'Flujo de Fondos'!$T$6)</f>
        <v/>
      </c>
      <c r="J232" s="53" t="n">
        <v>36.6</v>
      </c>
      <c r="K232" s="54">
        <f>myParidad('Flujo de Fondos'!$B$34,$A232,J232,'Flujo de Fondos'!$B$36,'Flujo de Fondos'!$B$35)</f>
        <v/>
      </c>
      <c r="L232" s="53" t="n">
        <v>39</v>
      </c>
      <c r="M232" s="54">
        <f>myParidad('Flujo de Fondos'!$H$34,'Paridad usd'!$A232,'Paridad usd'!L232,'Flujo de Fondos'!$H$36,'Flujo de Fondos'!$H$35)</f>
        <v/>
      </c>
      <c r="N232" s="56" t="n">
        <v>35.65</v>
      </c>
      <c r="O232" s="54">
        <f>myParidad('Flujo de Fondos'!$N$34,'Paridad usd'!$A232,'Paridad usd'!N232,'Flujo de Fondos'!$N$36,'Flujo de Fondos'!$N$35)</f>
        <v/>
      </c>
      <c r="P232" s="57">
        <f>C232-G232</f>
        <v/>
      </c>
      <c r="Q232" s="57">
        <f>E232-C232</f>
        <v/>
      </c>
      <c r="R232" s="57">
        <f>C232-M232</f>
        <v/>
      </c>
      <c r="S232" s="55">
        <f>C232-O232</f>
        <v/>
      </c>
      <c r="T232" s="57">
        <f>E232-O232</f>
        <v/>
      </c>
      <c r="U232" s="57">
        <f>G232-O232</f>
        <v/>
      </c>
      <c r="V232" s="57">
        <f>G232-K232</f>
        <v/>
      </c>
      <c r="W232" s="57">
        <f>C232-K232</f>
        <v/>
      </c>
      <c r="X232" s="67">
        <f>I232-G232</f>
        <v/>
      </c>
      <c r="Y232" s="75">
        <f>G232-M232</f>
        <v/>
      </c>
    </row>
    <row r="233">
      <c r="A233" s="52" t="n">
        <v>44146</v>
      </c>
      <c r="B233" s="53" t="n">
        <v>44.8</v>
      </c>
      <c r="C233" s="54">
        <f>myParidad('Flujo de Fondos'!$B$5,A233,B233,'Flujo de Fondos'!$B$7,'Flujo de Fondos'!$B$6)</f>
        <v/>
      </c>
      <c r="D233" s="53" t="n">
        <v>46.2</v>
      </c>
      <c r="E233" s="55">
        <f>myParidad('Flujo de Fondos'!$H$5,$A233,D233,'Flujo de Fondos'!$H$7,'Flujo de Fondos'!$H$6)</f>
        <v/>
      </c>
      <c r="F233" s="53" t="n">
        <v>39.2</v>
      </c>
      <c r="G233" s="54">
        <f>myParidad('Flujo de Fondos'!$N$5,$A233,F233,'Flujo de Fondos'!$N$7,'Flujo de Fondos'!$N$6)</f>
        <v/>
      </c>
      <c r="H233" s="53" t="n">
        <v>41.9</v>
      </c>
      <c r="I233" s="54">
        <f>myParidad('Flujo de Fondos'!$T$5,$A233,H233,'Flujo de Fondos'!$T$7,'Flujo de Fondos'!$T$6)</f>
        <v/>
      </c>
      <c r="J233" s="53" t="n">
        <v>37.3</v>
      </c>
      <c r="K233" s="54">
        <f>myParidad('Flujo de Fondos'!$B$34,$A233,J233,'Flujo de Fondos'!$B$36,'Flujo de Fondos'!$B$35)</f>
        <v/>
      </c>
      <c r="L233" s="53" t="n">
        <v>38.45</v>
      </c>
      <c r="M233" s="54">
        <f>myParidad('Flujo de Fondos'!$H$34,'Paridad usd'!$A233,'Paridad usd'!L233,'Flujo de Fondos'!$H$36,'Flujo de Fondos'!$H$35)</f>
        <v/>
      </c>
      <c r="N233" s="56" t="n">
        <v>35.39</v>
      </c>
      <c r="O233" s="54">
        <f>myParidad('Flujo de Fondos'!$N$34,'Paridad usd'!$A233,'Paridad usd'!N233,'Flujo de Fondos'!$N$36,'Flujo de Fondos'!$N$35)</f>
        <v/>
      </c>
      <c r="P233" s="57">
        <f>C233-G233</f>
        <v/>
      </c>
      <c r="Q233" s="57">
        <f>E233-C233</f>
        <v/>
      </c>
      <c r="R233" s="57">
        <f>C233-M233</f>
        <v/>
      </c>
      <c r="S233" s="55">
        <f>C233-O233</f>
        <v/>
      </c>
      <c r="T233" s="57">
        <f>E233-O233</f>
        <v/>
      </c>
      <c r="U233" s="57">
        <f>G233-O233</f>
        <v/>
      </c>
      <c r="V233" s="57">
        <f>G233-K233</f>
        <v/>
      </c>
      <c r="W233" s="57">
        <f>C233-K233</f>
        <v/>
      </c>
      <c r="X233" s="67">
        <f>I233-G233</f>
        <v/>
      </c>
      <c r="Y233" s="75">
        <f>G233-M233</f>
        <v/>
      </c>
    </row>
    <row r="234">
      <c r="A234" s="52" t="n">
        <v>44145</v>
      </c>
      <c r="B234" s="53" t="n">
        <v>45.15</v>
      </c>
      <c r="C234" s="54">
        <f>myParidad('Flujo de Fondos'!$B$5,A234,B234,'Flujo de Fondos'!$B$7,'Flujo de Fondos'!$B$6)</f>
        <v/>
      </c>
      <c r="D234" s="53" t="n">
        <v>46.49</v>
      </c>
      <c r="E234" s="55">
        <f>myParidad('Flujo de Fondos'!$H$5,$A234,D234,'Flujo de Fondos'!$H$7,'Flujo de Fondos'!$H$6)</f>
        <v/>
      </c>
      <c r="F234" s="53" t="n">
        <v>38.4</v>
      </c>
      <c r="G234" s="54">
        <f>myParidad('Flujo de Fondos'!$N$5,$A234,F234,'Flujo de Fondos'!$N$7,'Flujo de Fondos'!$N$6)</f>
        <v/>
      </c>
      <c r="H234" s="53" t="n">
        <v>41.5</v>
      </c>
      <c r="I234" s="54">
        <f>myParidad('Flujo de Fondos'!$T$5,$A234,H234,'Flujo de Fondos'!$T$7,'Flujo de Fondos'!$T$6)</f>
        <v/>
      </c>
      <c r="J234" s="53" t="n">
        <v>37.1</v>
      </c>
      <c r="K234" s="54">
        <f>myParidad('Flujo de Fondos'!$B$34,$A234,J234,'Flujo de Fondos'!$B$36,'Flujo de Fondos'!$B$35)</f>
        <v/>
      </c>
      <c r="L234" s="53" t="n">
        <v>38.5</v>
      </c>
      <c r="M234" s="54">
        <f>myParidad('Flujo de Fondos'!$H$34,'Paridad usd'!$A234,'Paridad usd'!L234,'Flujo de Fondos'!$H$36,'Flujo de Fondos'!$H$35)</f>
        <v/>
      </c>
      <c r="N234" s="56" t="n">
        <v>35.2</v>
      </c>
      <c r="O234" s="54">
        <f>myParidad('Flujo de Fondos'!$N$34,'Paridad usd'!$A234,'Paridad usd'!N234,'Flujo de Fondos'!$N$36,'Flujo de Fondos'!$N$35)</f>
        <v/>
      </c>
      <c r="P234" s="57">
        <f>C234-G234</f>
        <v/>
      </c>
      <c r="Q234" s="57">
        <f>E234-C234</f>
        <v/>
      </c>
      <c r="R234" s="57">
        <f>C234-M234</f>
        <v/>
      </c>
      <c r="S234" s="55">
        <f>C234-O234</f>
        <v/>
      </c>
      <c r="T234" s="57">
        <f>E234-O234</f>
        <v/>
      </c>
      <c r="U234" s="57">
        <f>G234-O234</f>
        <v/>
      </c>
      <c r="V234" s="57">
        <f>G234-K234</f>
        <v/>
      </c>
      <c r="W234" s="57">
        <f>C234-K234</f>
        <v/>
      </c>
      <c r="X234" s="67">
        <f>I234-G234</f>
        <v/>
      </c>
      <c r="Y234" s="75">
        <f>G234-M234</f>
        <v/>
      </c>
    </row>
    <row r="235">
      <c r="A235" s="52" t="n">
        <v>44144</v>
      </c>
      <c r="B235" s="53" t="n">
        <v>45.7</v>
      </c>
      <c r="C235" s="54">
        <f>myParidad('Flujo de Fondos'!$B$5,A235,B235,'Flujo de Fondos'!$B$7,'Flujo de Fondos'!$B$6)</f>
        <v/>
      </c>
      <c r="D235" s="53" t="n">
        <v>46</v>
      </c>
      <c r="E235" s="55">
        <f>myParidad('Flujo de Fondos'!$H$5,$A235,D235,'Flujo de Fondos'!$H$7,'Flujo de Fondos'!$H$6)</f>
        <v/>
      </c>
      <c r="F235" s="53" t="n">
        <v>38.35</v>
      </c>
      <c r="G235" s="54">
        <f>myParidad('Flujo de Fondos'!$N$5,$A235,F235,'Flujo de Fondos'!$N$7,'Flujo de Fondos'!$N$6)</f>
        <v/>
      </c>
      <c r="H235" s="53" t="n">
        <v>41.64</v>
      </c>
      <c r="I235" s="54">
        <f>myParidad('Flujo de Fondos'!$T$5,$A235,H235,'Flujo de Fondos'!$T$7,'Flujo de Fondos'!$T$6)</f>
        <v/>
      </c>
      <c r="J235" s="53" t="n">
        <v>37.25</v>
      </c>
      <c r="K235" s="54">
        <f>myParidad('Flujo de Fondos'!$B$34,$A235,J235,'Flujo de Fondos'!$B$36,'Flujo de Fondos'!$B$35)</f>
        <v/>
      </c>
      <c r="L235" s="53" t="n">
        <v>37.9</v>
      </c>
      <c r="M235" s="54">
        <f>myParidad('Flujo de Fondos'!$H$34,'Paridad usd'!$A235,'Paridad usd'!L235,'Flujo de Fondos'!$H$36,'Flujo de Fondos'!$H$35)</f>
        <v/>
      </c>
      <c r="N235" s="56" t="n">
        <v>34.75</v>
      </c>
      <c r="O235" s="54">
        <f>myParidad('Flujo de Fondos'!$N$34,'Paridad usd'!$A235,'Paridad usd'!N235,'Flujo de Fondos'!$N$36,'Flujo de Fondos'!$N$35)</f>
        <v/>
      </c>
      <c r="P235" s="57">
        <f>C235-G235</f>
        <v/>
      </c>
      <c r="Q235" s="57">
        <f>E235-C235</f>
        <v/>
      </c>
      <c r="R235" s="57">
        <f>C235-M235</f>
        <v/>
      </c>
      <c r="S235" s="55">
        <f>C235-O235</f>
        <v/>
      </c>
      <c r="T235" s="57">
        <f>E235-O235</f>
        <v/>
      </c>
      <c r="U235" s="57">
        <f>G235-O235</f>
        <v/>
      </c>
      <c r="V235" s="57">
        <f>G235-K235</f>
        <v/>
      </c>
      <c r="W235" s="57">
        <f>C235-K235</f>
        <v/>
      </c>
      <c r="X235" s="67">
        <f>I235-G235</f>
        <v/>
      </c>
      <c r="Y235" s="75">
        <f>G235-M235</f>
        <v/>
      </c>
    </row>
    <row r="236" ht="15.75" customHeight="1" s="76">
      <c r="A236" s="52" t="n">
        <v>44141</v>
      </c>
      <c r="B236" s="53" t="n">
        <v>45.41</v>
      </c>
      <c r="C236" s="54">
        <f>myParidad('Flujo de Fondos'!$B$5,A236,B236,'Flujo de Fondos'!$B$7,'Flujo de Fondos'!$B$6)</f>
        <v/>
      </c>
      <c r="D236" s="53" t="n">
        <v>45.6</v>
      </c>
      <c r="E236" s="55">
        <f>myParidad('Flujo de Fondos'!$H$5,$A236,D236,'Flujo de Fondos'!$H$7,'Flujo de Fondos'!$H$6)</f>
        <v/>
      </c>
      <c r="F236" s="53" t="n">
        <v>38</v>
      </c>
      <c r="G236" s="54">
        <f>myParidad('Flujo de Fondos'!$N$5,$A236,F236,'Flujo de Fondos'!$N$7,'Flujo de Fondos'!$N$6)</f>
        <v/>
      </c>
      <c r="H236" s="53" t="n">
        <v>40.5</v>
      </c>
      <c r="I236" s="54">
        <f>myParidad('Flujo de Fondos'!$T$5,$A236,H236,'Flujo de Fondos'!$T$7,'Flujo de Fondos'!$T$6)</f>
        <v/>
      </c>
      <c r="J236" s="53" t="n">
        <v>35.8</v>
      </c>
      <c r="K236" s="54">
        <f>myParidad('Flujo de Fondos'!$B$34,$A236,J236,'Flujo de Fondos'!$B$36,'Flujo de Fondos'!$B$35)</f>
        <v/>
      </c>
      <c r="L236" s="53" t="n">
        <v>37.38</v>
      </c>
      <c r="M236" s="54">
        <f>myParidad('Flujo de Fondos'!$H$34,'Paridad usd'!$A236,'Paridad usd'!L236,'Flujo de Fondos'!$H$36,'Flujo de Fondos'!$H$35)</f>
        <v/>
      </c>
      <c r="N236" s="56" t="n">
        <v>34.59</v>
      </c>
      <c r="O236" s="54">
        <f>myParidad('Flujo de Fondos'!$N$34,'Paridad usd'!$A236,'Paridad usd'!N236,'Flujo de Fondos'!$N$36,'Flujo de Fondos'!$N$35)</f>
        <v/>
      </c>
      <c r="P236" s="57">
        <f>C236-G236</f>
        <v/>
      </c>
      <c r="Q236" s="57">
        <f>E236-C236</f>
        <v/>
      </c>
      <c r="R236" s="57">
        <f>C236-M236</f>
        <v/>
      </c>
      <c r="S236" s="55">
        <f>C236-O236</f>
        <v/>
      </c>
      <c r="T236" s="57">
        <f>E236-O236</f>
        <v/>
      </c>
      <c r="U236" s="57">
        <f>G236-O236</f>
        <v/>
      </c>
      <c r="V236" s="57">
        <f>G236-K236</f>
        <v/>
      </c>
      <c r="W236" s="57">
        <f>C236-K236</f>
        <v/>
      </c>
      <c r="X236" s="67">
        <f>I236-G236</f>
        <v/>
      </c>
      <c r="Y236" s="75">
        <f>G236-M236</f>
        <v/>
      </c>
    </row>
    <row r="237">
      <c r="A237" s="52" t="n">
        <v>44140</v>
      </c>
      <c r="B237" s="53" t="n">
        <v>45.5</v>
      </c>
      <c r="C237" s="54">
        <f>myParidad('Flujo de Fondos'!$B$5,A237,B237,'Flujo de Fondos'!$B$7,'Flujo de Fondos'!$B$6)</f>
        <v/>
      </c>
      <c r="D237" s="53" t="n">
        <v>46.5</v>
      </c>
      <c r="E237" s="55">
        <f>myParidad('Flujo de Fondos'!$H$5,$A237,D237,'Flujo de Fondos'!$H$7,'Flujo de Fondos'!$H$6)</f>
        <v/>
      </c>
      <c r="F237" s="53" t="n">
        <v>37.99</v>
      </c>
      <c r="G237" s="54">
        <f>myParidad('Flujo de Fondos'!$N$5,$A237,F237,'Flujo de Fondos'!$N$7,'Flujo de Fondos'!$N$6)</f>
        <v/>
      </c>
      <c r="H237" s="53" t="n">
        <v>40.65</v>
      </c>
      <c r="I237" s="54">
        <f>myParidad('Flujo de Fondos'!$T$5,$A237,H237,'Flujo de Fondos'!$T$7,'Flujo de Fondos'!$T$6)</f>
        <v/>
      </c>
      <c r="J237" s="53" t="n">
        <v>36.25</v>
      </c>
      <c r="K237" s="54">
        <f>myParidad('Flujo de Fondos'!$B$34,$A237,J237,'Flujo de Fondos'!$B$36,'Flujo de Fondos'!$B$35)</f>
        <v/>
      </c>
      <c r="L237" s="53" t="n">
        <v>37.4</v>
      </c>
      <c r="M237" s="54">
        <f>myParidad('Flujo de Fondos'!$H$34,'Paridad usd'!$A237,'Paridad usd'!L237,'Flujo de Fondos'!$H$36,'Flujo de Fondos'!$H$35)</f>
        <v/>
      </c>
      <c r="N237" s="56" t="n">
        <v>34.61</v>
      </c>
      <c r="O237" s="54">
        <f>myParidad('Flujo de Fondos'!$N$34,'Paridad usd'!$A237,'Paridad usd'!N237,'Flujo de Fondos'!$N$36,'Flujo de Fondos'!$N$35)</f>
        <v/>
      </c>
      <c r="P237" s="57">
        <f>C237-G237</f>
        <v/>
      </c>
      <c r="Q237" s="57">
        <f>E237-C237</f>
        <v/>
      </c>
      <c r="R237" s="57">
        <f>C237-M237</f>
        <v/>
      </c>
      <c r="S237" s="55">
        <f>C237-O237</f>
        <v/>
      </c>
      <c r="T237" s="57">
        <f>E237-O237</f>
        <v/>
      </c>
      <c r="U237" s="57">
        <f>G237-O237</f>
        <v/>
      </c>
      <c r="V237" s="57">
        <f>G237-K237</f>
        <v/>
      </c>
      <c r="W237" s="57">
        <f>C237-K237</f>
        <v/>
      </c>
      <c r="X237" s="67">
        <f>I237-G237</f>
        <v/>
      </c>
      <c r="Y237" s="75">
        <f>G237-M237</f>
        <v/>
      </c>
    </row>
    <row r="238">
      <c r="A238" s="52" t="n">
        <v>44139</v>
      </c>
      <c r="B238" s="53" t="n">
        <v>44.9</v>
      </c>
      <c r="C238" s="54">
        <f>myParidad('Flujo de Fondos'!$B$5,A238,B238,'Flujo de Fondos'!$B$7,'Flujo de Fondos'!$B$6)</f>
        <v/>
      </c>
      <c r="D238" s="53" t="n">
        <v>45.45</v>
      </c>
      <c r="E238" s="55">
        <f>myParidad('Flujo de Fondos'!$H$5,$A238,D238,'Flujo de Fondos'!$H$7,'Flujo de Fondos'!$H$6)</f>
        <v/>
      </c>
      <c r="F238" s="53" t="n">
        <v>38.39</v>
      </c>
      <c r="G238" s="54">
        <f>myParidad('Flujo de Fondos'!$N$5,$A238,F238,'Flujo de Fondos'!$N$7,'Flujo de Fondos'!$N$6)</f>
        <v/>
      </c>
      <c r="H238" s="53" t="n">
        <v>40.92</v>
      </c>
      <c r="I238" s="54">
        <f>myParidad('Flujo de Fondos'!$T$5,$A238,H238,'Flujo de Fondos'!$T$7,'Flujo de Fondos'!$T$6)</f>
        <v/>
      </c>
      <c r="J238" s="53" t="n">
        <v>35.6</v>
      </c>
      <c r="K238" s="54">
        <f>myParidad('Flujo de Fondos'!$B$34,$A238,J238,'Flujo de Fondos'!$B$36,'Flujo de Fondos'!$B$35)</f>
        <v/>
      </c>
      <c r="L238" s="53" t="n">
        <v>37.25</v>
      </c>
      <c r="M238" s="54">
        <f>myParidad('Flujo de Fondos'!$H$34,'Paridad usd'!$A238,'Paridad usd'!L238,'Flujo de Fondos'!$H$36,'Flujo de Fondos'!$H$35)</f>
        <v/>
      </c>
      <c r="N238" s="56" t="n">
        <v>34</v>
      </c>
      <c r="O238" s="54">
        <f>myParidad('Flujo de Fondos'!$N$34,'Paridad usd'!$A238,'Paridad usd'!N238,'Flujo de Fondos'!$N$36,'Flujo de Fondos'!$N$35)</f>
        <v/>
      </c>
      <c r="P238" s="57">
        <f>C238-G238</f>
        <v/>
      </c>
      <c r="Q238" s="57">
        <f>E238-C238</f>
        <v/>
      </c>
      <c r="R238" s="57">
        <f>C238-M238</f>
        <v/>
      </c>
      <c r="S238" s="55">
        <f>C238-O238</f>
        <v/>
      </c>
      <c r="T238" s="57">
        <f>E238-O238</f>
        <v/>
      </c>
      <c r="U238" s="57">
        <f>G238-O238</f>
        <v/>
      </c>
      <c r="V238" s="57">
        <f>G238-K238</f>
        <v/>
      </c>
      <c r="W238" s="57">
        <f>C238-K238</f>
        <v/>
      </c>
      <c r="X238" s="67">
        <f>I238-G238</f>
        <v/>
      </c>
      <c r="Y238" s="75">
        <f>G238-M238</f>
        <v/>
      </c>
    </row>
    <row r="239">
      <c r="A239" s="52" t="n">
        <v>44138</v>
      </c>
      <c r="B239" s="53" t="n">
        <v>44.8</v>
      </c>
      <c r="C239" s="54">
        <f>myParidad('Flujo de Fondos'!$B$5,A239,B239,'Flujo de Fondos'!$B$7,'Flujo de Fondos'!$B$6)</f>
        <v/>
      </c>
      <c r="D239" s="53" t="n">
        <v>44.76</v>
      </c>
      <c r="E239" s="55">
        <f>myParidad('Flujo de Fondos'!$H$5,$A239,D239,'Flujo de Fondos'!$H$7,'Flujo de Fondos'!$H$6)</f>
        <v/>
      </c>
      <c r="F239" s="53" t="n">
        <v>38.38</v>
      </c>
      <c r="G239" s="54">
        <f>myParidad('Flujo de Fondos'!$N$5,$A239,F239,'Flujo de Fondos'!$N$7,'Flujo de Fondos'!$N$6)</f>
        <v/>
      </c>
      <c r="H239" s="53" t="n">
        <v>41.15</v>
      </c>
      <c r="I239" s="54">
        <f>myParidad('Flujo de Fondos'!$T$5,$A239,H239,'Flujo de Fondos'!$T$7,'Flujo de Fondos'!$T$6)</f>
        <v/>
      </c>
      <c r="J239" s="53" t="n">
        <v>35.5</v>
      </c>
      <c r="K239" s="54">
        <f>myParidad('Flujo de Fondos'!$B$34,$A239,J239,'Flujo de Fondos'!$B$36,'Flujo de Fondos'!$B$35)</f>
        <v/>
      </c>
      <c r="L239" s="53" t="n">
        <v>36.85</v>
      </c>
      <c r="M239" s="54">
        <f>myParidad('Flujo de Fondos'!$H$34,'Paridad usd'!$A239,'Paridad usd'!L239,'Flujo de Fondos'!$H$36,'Flujo de Fondos'!$H$35)</f>
        <v/>
      </c>
      <c r="N239" s="56" t="n">
        <v>34.02</v>
      </c>
      <c r="O239" s="54">
        <f>myParidad('Flujo de Fondos'!$N$34,'Paridad usd'!$A239,'Paridad usd'!N239,'Flujo de Fondos'!$N$36,'Flujo de Fondos'!$N$35)</f>
        <v/>
      </c>
      <c r="P239" s="57">
        <f>C239-G239</f>
        <v/>
      </c>
      <c r="Q239" s="57">
        <f>E239-C239</f>
        <v/>
      </c>
      <c r="R239" s="57">
        <f>C239-M239</f>
        <v/>
      </c>
      <c r="S239" s="55">
        <f>C239-O239</f>
        <v/>
      </c>
      <c r="T239" s="57">
        <f>E239-O239</f>
        <v/>
      </c>
      <c r="U239" s="57">
        <f>G239-O239</f>
        <v/>
      </c>
      <c r="V239" s="57">
        <f>G239-K239</f>
        <v/>
      </c>
      <c r="W239" s="57">
        <f>C239-K239</f>
        <v/>
      </c>
      <c r="X239" s="67">
        <f>I239-G239</f>
        <v/>
      </c>
      <c r="Y239" s="75">
        <f>G239-M239</f>
        <v/>
      </c>
    </row>
    <row r="240">
      <c r="A240" s="52" t="n">
        <v>44137</v>
      </c>
      <c r="B240" s="53" t="n">
        <v>43.71</v>
      </c>
      <c r="C240" s="54">
        <f>myParidad('Flujo de Fondos'!$B$5,A240,B240,'Flujo de Fondos'!$B$7,'Flujo de Fondos'!$B$6)</f>
        <v/>
      </c>
      <c r="D240" s="53" t="n">
        <v>44.83</v>
      </c>
      <c r="E240" s="55">
        <f>myParidad('Flujo de Fondos'!$H$5,$A240,D240,'Flujo de Fondos'!$H$7,'Flujo de Fondos'!$H$6)</f>
        <v/>
      </c>
      <c r="F240" s="53" t="n">
        <v>38.64</v>
      </c>
      <c r="G240" s="54">
        <f>myParidad('Flujo de Fondos'!$N$5,$A240,F240,'Flujo de Fondos'!$N$7,'Flujo de Fondos'!$N$6)</f>
        <v/>
      </c>
      <c r="H240" s="53" t="n">
        <v>40.47</v>
      </c>
      <c r="I240" s="54">
        <f>myParidad('Flujo de Fondos'!$T$5,$A240,H240,'Flujo de Fondos'!$T$7,'Flujo de Fondos'!$T$6)</f>
        <v/>
      </c>
      <c r="J240" s="53" t="n">
        <v>35.06</v>
      </c>
      <c r="K240" s="54">
        <f>myParidad('Flujo de Fondos'!$B$34,$A240,J240,'Flujo de Fondos'!$B$36,'Flujo de Fondos'!$B$35)</f>
        <v/>
      </c>
      <c r="L240" s="53" t="n">
        <v>36.25</v>
      </c>
      <c r="M240" s="54">
        <f>myParidad('Flujo de Fondos'!$H$34,'Paridad usd'!$A240,'Paridad usd'!L240,'Flujo de Fondos'!$H$36,'Flujo de Fondos'!$H$35)</f>
        <v/>
      </c>
      <c r="N240" s="56" t="n">
        <v>33.6</v>
      </c>
      <c r="O240" s="54">
        <f>myParidad('Flujo de Fondos'!$N$34,'Paridad usd'!$A240,'Paridad usd'!N240,'Flujo de Fondos'!$N$36,'Flujo de Fondos'!$N$35)</f>
        <v/>
      </c>
      <c r="P240" s="57">
        <f>C240-G240</f>
        <v/>
      </c>
      <c r="Q240" s="57">
        <f>E240-C240</f>
        <v/>
      </c>
      <c r="R240" s="57">
        <f>C240-M240</f>
        <v/>
      </c>
      <c r="S240" s="55">
        <f>C240-O240</f>
        <v/>
      </c>
      <c r="T240" s="57">
        <f>E240-O240</f>
        <v/>
      </c>
      <c r="U240" s="57">
        <f>G240-O240</f>
        <v/>
      </c>
      <c r="V240" s="57">
        <f>G240-K240</f>
        <v/>
      </c>
      <c r="W240" s="57">
        <f>C240-K240</f>
        <v/>
      </c>
      <c r="X240" s="67">
        <f>I240-G240</f>
        <v/>
      </c>
      <c r="Y240" s="75">
        <f>G240-M240</f>
        <v/>
      </c>
    </row>
    <row r="241">
      <c r="A241" s="52" t="n">
        <v>44134</v>
      </c>
      <c r="B241" s="53" t="n">
        <v>44.9</v>
      </c>
      <c r="C241" s="54">
        <f>myParidad('Flujo de Fondos'!$B$5,A241,B241,'Flujo de Fondos'!$B$7,'Flujo de Fondos'!$B$6)</f>
        <v/>
      </c>
      <c r="D241" s="53" t="n">
        <v>46.5</v>
      </c>
      <c r="E241" s="55">
        <f>myParidad('Flujo de Fondos'!$H$5,$A241,D241,'Flujo de Fondos'!$H$7,'Flujo de Fondos'!$H$6)</f>
        <v/>
      </c>
      <c r="F241" s="53" t="n">
        <v>38.05</v>
      </c>
      <c r="G241" s="54">
        <f>myParidad('Flujo de Fondos'!$N$5,$A241,F241,'Flujo de Fondos'!$N$7,'Flujo de Fondos'!$N$6)</f>
        <v/>
      </c>
      <c r="H241" s="53" t="n">
        <v>39.85</v>
      </c>
      <c r="I241" s="54">
        <f>myParidad('Flujo de Fondos'!$T$5,$A241,H241,'Flujo de Fondos'!$T$7,'Flujo de Fondos'!$T$6)</f>
        <v/>
      </c>
      <c r="J241" s="53" t="n">
        <v>35.1</v>
      </c>
      <c r="K241" s="54">
        <f>myParidad('Flujo de Fondos'!$B$34,$A241,J241,'Flujo de Fondos'!$B$36,'Flujo de Fondos'!$B$35)</f>
        <v/>
      </c>
      <c r="L241" s="53" t="n">
        <v>35.98</v>
      </c>
      <c r="M241" s="54">
        <f>myParidad('Flujo de Fondos'!$H$34,'Paridad usd'!$A241,'Paridad usd'!L241,'Flujo de Fondos'!$H$36,'Flujo de Fondos'!$H$35)</f>
        <v/>
      </c>
      <c r="N241" s="56" t="n">
        <v>33.5</v>
      </c>
      <c r="O241" s="54">
        <f>myParidad('Flujo de Fondos'!$N$34,'Paridad usd'!$A241,'Paridad usd'!N241,'Flujo de Fondos'!$N$36,'Flujo de Fondos'!$N$35)</f>
        <v/>
      </c>
      <c r="P241" s="57">
        <f>C241-G241</f>
        <v/>
      </c>
      <c r="Q241" s="57">
        <f>E241-C241</f>
        <v/>
      </c>
      <c r="R241" s="57">
        <f>C241-M241</f>
        <v/>
      </c>
      <c r="S241" s="55">
        <f>C241-O241</f>
        <v/>
      </c>
      <c r="T241" s="57">
        <f>E241-O241</f>
        <v/>
      </c>
      <c r="U241" s="57">
        <f>G241-O241</f>
        <v/>
      </c>
      <c r="V241" s="57">
        <f>G241-K241</f>
        <v/>
      </c>
      <c r="W241" s="57">
        <f>C241-K241</f>
        <v/>
      </c>
      <c r="X241" s="67">
        <f>I241-G241</f>
        <v/>
      </c>
      <c r="Y241" s="75">
        <f>G241-M241</f>
        <v/>
      </c>
    </row>
    <row r="242">
      <c r="A242" s="52" t="n">
        <v>44133</v>
      </c>
      <c r="B242" s="53" t="n">
        <v>45.45</v>
      </c>
      <c r="C242" s="54">
        <f>myParidad('Flujo de Fondos'!$B$5,A242,B242,'Flujo de Fondos'!$B$7,'Flujo de Fondos'!$B$6)</f>
        <v/>
      </c>
      <c r="D242" s="53" t="n">
        <v>46.7</v>
      </c>
      <c r="E242" s="55">
        <f>myParidad('Flujo de Fondos'!$H$5,$A242,D242,'Flujo de Fondos'!$H$7,'Flujo de Fondos'!$H$6)</f>
        <v/>
      </c>
      <c r="F242" s="53" t="n">
        <v>38.74</v>
      </c>
      <c r="G242" s="54">
        <f>myParidad('Flujo de Fondos'!$N$5,$A242,F242,'Flujo de Fondos'!$N$7,'Flujo de Fondos'!$N$6)</f>
        <v/>
      </c>
      <c r="H242" s="53" t="n">
        <v>39.58</v>
      </c>
      <c r="I242" s="54">
        <f>myParidad('Flujo de Fondos'!$T$5,$A242,H242,'Flujo de Fondos'!$T$7,'Flujo de Fondos'!$T$6)</f>
        <v/>
      </c>
      <c r="J242" s="53" t="n">
        <v>35.01</v>
      </c>
      <c r="K242" s="54">
        <f>myParidad('Flujo de Fondos'!$B$34,$A242,J242,'Flujo de Fondos'!$B$36,'Flujo de Fondos'!$B$35)</f>
        <v/>
      </c>
      <c r="L242" s="53" t="n">
        <v>36.09</v>
      </c>
      <c r="M242" s="54">
        <f>myParidad('Flujo de Fondos'!$H$34,'Paridad usd'!$A242,'Paridad usd'!L242,'Flujo de Fondos'!$H$36,'Flujo de Fondos'!$H$35)</f>
        <v/>
      </c>
      <c r="N242" s="56" t="n">
        <v>33.65</v>
      </c>
      <c r="O242" s="54">
        <f>myParidad('Flujo de Fondos'!$N$34,'Paridad usd'!$A242,'Paridad usd'!N242,'Flujo de Fondos'!$N$36,'Flujo de Fondos'!$N$35)</f>
        <v/>
      </c>
      <c r="P242" s="57">
        <f>C242-G242</f>
        <v/>
      </c>
      <c r="Q242" s="57">
        <f>E242-C242</f>
        <v/>
      </c>
      <c r="R242" s="57">
        <f>C242-M242</f>
        <v/>
      </c>
      <c r="S242" s="55">
        <f>C242-O242</f>
        <v/>
      </c>
      <c r="T242" s="57">
        <f>E242-O242</f>
        <v/>
      </c>
      <c r="U242" s="57">
        <f>G242-O242</f>
        <v/>
      </c>
      <c r="V242" s="57">
        <f>G242-K242</f>
        <v/>
      </c>
      <c r="W242" s="57">
        <f>C242-K242</f>
        <v/>
      </c>
      <c r="X242" s="67">
        <f>I242-G242</f>
        <v/>
      </c>
      <c r="Y242" s="75">
        <f>G242-M242</f>
        <v/>
      </c>
    </row>
    <row r="243">
      <c r="A243" s="52" t="n">
        <v>44132</v>
      </c>
      <c r="B243" s="53" t="n">
        <v>44.2</v>
      </c>
      <c r="C243" s="54">
        <f>myParidad('Flujo de Fondos'!$B$5,A243,B243,'Flujo de Fondos'!$B$7,'Flujo de Fondos'!$B$6)</f>
        <v/>
      </c>
      <c r="D243" s="53" t="n">
        <v>48</v>
      </c>
      <c r="E243" s="55">
        <f>myParidad('Flujo de Fondos'!$H$5,$A243,D243,'Flujo de Fondos'!$H$7,'Flujo de Fondos'!$H$6)</f>
        <v/>
      </c>
      <c r="F243" s="53" t="n">
        <v>38.8</v>
      </c>
      <c r="G243" s="54">
        <f>myParidad('Flujo de Fondos'!$N$5,$A243,F243,'Flujo de Fondos'!$N$7,'Flujo de Fondos'!$N$6)</f>
        <v/>
      </c>
      <c r="H243" s="53" t="n">
        <v>40.5</v>
      </c>
      <c r="I243" s="54">
        <f>myParidad('Flujo de Fondos'!$T$5,$A243,H243,'Flujo de Fondos'!$T$7,'Flujo de Fondos'!$T$6)</f>
        <v/>
      </c>
      <c r="J243" s="53" t="n">
        <v>35</v>
      </c>
      <c r="K243" s="54">
        <f>myParidad('Flujo de Fondos'!$B$34,$A243,J243,'Flujo de Fondos'!$B$36,'Flujo de Fondos'!$B$35)</f>
        <v/>
      </c>
      <c r="L243" s="53" t="n">
        <v>36.1</v>
      </c>
      <c r="M243" s="54">
        <f>myParidad('Flujo de Fondos'!$H$34,'Paridad usd'!$A243,'Paridad usd'!L243,'Flujo de Fondos'!$H$36,'Flujo de Fondos'!$H$35)</f>
        <v/>
      </c>
      <c r="N243" s="56" t="n">
        <v>33.79</v>
      </c>
      <c r="O243" s="54">
        <f>myParidad('Flujo de Fondos'!$N$34,'Paridad usd'!$A243,'Paridad usd'!N243,'Flujo de Fondos'!$N$36,'Flujo de Fondos'!$N$35)</f>
        <v/>
      </c>
      <c r="P243" s="57">
        <f>C243-G243</f>
        <v/>
      </c>
      <c r="Q243" s="57">
        <f>E243-C243</f>
        <v/>
      </c>
      <c r="R243" s="57">
        <f>C243-M243</f>
        <v/>
      </c>
      <c r="S243" s="55">
        <f>C243-O243</f>
        <v/>
      </c>
      <c r="T243" s="57">
        <f>E243-O243</f>
        <v/>
      </c>
      <c r="U243" s="57">
        <f>G243-O243</f>
        <v/>
      </c>
      <c r="V243" s="57">
        <f>G243-K243</f>
        <v/>
      </c>
      <c r="W243" s="57">
        <f>C243-K243</f>
        <v/>
      </c>
      <c r="X243" s="67">
        <f>I243-G243</f>
        <v/>
      </c>
      <c r="Y243" s="75">
        <f>G243-M243</f>
        <v/>
      </c>
    </row>
    <row r="244" ht="15.75" customHeight="1" s="76" thickBot="1">
      <c r="A244" s="52" t="n">
        <v>44131</v>
      </c>
      <c r="B244" s="53" t="n">
        <v>43</v>
      </c>
      <c r="C244" s="54">
        <f>myParidad('Flujo de Fondos'!$B$5,A244,B244,'Flujo de Fondos'!$B$7,'Flujo de Fondos'!$B$6)</f>
        <v/>
      </c>
      <c r="D244" s="53" t="n">
        <v>45</v>
      </c>
      <c r="E244" s="55">
        <f>myParidad('Flujo de Fondos'!$H$5,$A244,D244,'Flujo de Fondos'!$H$7,'Flujo de Fondos'!$H$6)</f>
        <v/>
      </c>
      <c r="F244" s="53" t="n">
        <v>39.22</v>
      </c>
      <c r="G244" s="54">
        <f>myParidad('Flujo de Fondos'!$N$5,$A244,F244,'Flujo de Fondos'!$N$7,'Flujo de Fondos'!$N$6)</f>
        <v/>
      </c>
      <c r="H244" s="53" t="n">
        <v>40.5</v>
      </c>
      <c r="I244" s="54">
        <f>myParidad('Flujo de Fondos'!$T$5,$A244,H244,'Flujo de Fondos'!$T$7,'Flujo de Fondos'!$T$6)</f>
        <v/>
      </c>
      <c r="J244" s="53" t="n">
        <v>35.2</v>
      </c>
      <c r="K244" s="54">
        <f>myParidad('Flujo de Fondos'!$B$34,$A244,J244,'Flujo de Fondos'!$B$36,'Flujo de Fondos'!$B$35)</f>
        <v/>
      </c>
      <c r="L244" s="53" t="n">
        <v>36.6</v>
      </c>
      <c r="M244" s="54">
        <f>myParidad('Flujo de Fondos'!$H$34,'Paridad usd'!$A244,'Paridad usd'!L244,'Flujo de Fondos'!$H$36,'Flujo de Fondos'!$H$35)</f>
        <v/>
      </c>
      <c r="N244" s="56" t="n">
        <v>34</v>
      </c>
      <c r="O244" s="54">
        <f>myParidad('Flujo de Fondos'!$N$34,'Paridad usd'!$A244,'Paridad usd'!N244,'Flujo de Fondos'!$N$36,'Flujo de Fondos'!$N$35)</f>
        <v/>
      </c>
      <c r="P244" s="57">
        <f>C244-G244</f>
        <v/>
      </c>
      <c r="Q244" s="57">
        <f>E244-C244</f>
        <v/>
      </c>
      <c r="R244" s="57">
        <f>C244-M244</f>
        <v/>
      </c>
      <c r="S244" s="55">
        <f>C244-O244</f>
        <v/>
      </c>
      <c r="T244" s="57">
        <f>E244-O244</f>
        <v/>
      </c>
      <c r="U244" s="57">
        <f>G244-O244</f>
        <v/>
      </c>
      <c r="V244" s="57">
        <f>G244-K244</f>
        <v/>
      </c>
      <c r="W244" s="57">
        <f>C244-K244</f>
        <v/>
      </c>
      <c r="X244" s="67">
        <f>I244-G244</f>
        <v/>
      </c>
      <c r="Y244" s="75">
        <f>G244-M244</f>
        <v/>
      </c>
    </row>
    <row r="245">
      <c r="A245" s="52" t="n">
        <v>44130</v>
      </c>
      <c r="B245" s="53" t="n">
        <v>40.56</v>
      </c>
      <c r="C245" s="54">
        <f>myParidad('Flujo de Fondos'!$B$5,A245,B245,'Flujo de Fondos'!$B$7,'Flujo de Fondos'!$B$6)</f>
        <v/>
      </c>
      <c r="D245" s="53" t="n">
        <v>47</v>
      </c>
      <c r="E245" s="55">
        <f>myParidad('Flujo de Fondos'!$H$5,$A245,D245,'Flujo de Fondos'!$H$7,'Flujo de Fondos'!$H$6)</f>
        <v/>
      </c>
      <c r="F245" s="53" t="n">
        <v>38.23</v>
      </c>
      <c r="G245" s="54">
        <f>myParidad('Flujo de Fondos'!$N$5,$A245,F245,'Flujo de Fondos'!$N$7,'Flujo de Fondos'!$N$6)</f>
        <v/>
      </c>
      <c r="H245" s="53" t="n">
        <v>40.5</v>
      </c>
      <c r="I245" s="54">
        <f>myParidad('Flujo de Fondos'!$T$5,$A245,H245,'Flujo de Fondos'!$T$7,'Flujo de Fondos'!$T$6)</f>
        <v/>
      </c>
      <c r="J245" s="53" t="n">
        <v>34.2</v>
      </c>
      <c r="K245" s="54">
        <f>myParidad('Flujo de Fondos'!$B$34,$A245,J245,'Flujo de Fondos'!$B$36,'Flujo de Fondos'!$B$35)</f>
        <v/>
      </c>
      <c r="L245" s="53" t="n">
        <v>36</v>
      </c>
      <c r="M245" s="54">
        <f>myParidad('Flujo de Fondos'!$H$34,'Paridad usd'!$A245,'Paridad usd'!L245,'Flujo de Fondos'!$H$36,'Flujo de Fondos'!$H$35)</f>
        <v/>
      </c>
      <c r="N245" s="56" t="n">
        <v>33.4</v>
      </c>
      <c r="O245" s="54">
        <f>myParidad('Flujo de Fondos'!$N$34,'Paridad usd'!$A245,'Paridad usd'!N245,'Flujo de Fondos'!$N$36,'Flujo de Fondos'!$N$35)</f>
        <v/>
      </c>
      <c r="P245" s="57">
        <f>C245-G245</f>
        <v/>
      </c>
      <c r="Q245" s="57">
        <f>E245-C245</f>
        <v/>
      </c>
      <c r="R245" s="57">
        <f>C245-M245</f>
        <v/>
      </c>
      <c r="S245" s="55">
        <f>C245-O245</f>
        <v/>
      </c>
      <c r="T245" s="57">
        <f>E245-O245</f>
        <v/>
      </c>
      <c r="U245" s="57">
        <f>G245-O245</f>
        <v/>
      </c>
      <c r="V245" s="57">
        <f>G245-K245</f>
        <v/>
      </c>
      <c r="W245" s="57">
        <f>C245-K245</f>
        <v/>
      </c>
      <c r="X245" s="67">
        <f>I245-G245</f>
        <v/>
      </c>
      <c r="Y245" s="75">
        <f>G245-M245</f>
        <v/>
      </c>
    </row>
    <row r="246">
      <c r="A246" s="52" t="n">
        <v>44127</v>
      </c>
      <c r="B246" s="53" t="n">
        <v>43.66</v>
      </c>
      <c r="C246" s="54">
        <f>myParidad('Flujo de Fondos'!$B$5,A246,B246,'Flujo de Fondos'!$B$7,'Flujo de Fondos'!$B$6)</f>
        <v/>
      </c>
      <c r="D246" s="53" t="n">
        <v>49</v>
      </c>
      <c r="E246" s="55">
        <f>myParidad('Flujo de Fondos'!$H$5,$A246,D246,'Flujo de Fondos'!$H$7,'Flujo de Fondos'!$H$6)</f>
        <v/>
      </c>
      <c r="F246" s="53" t="n">
        <v>40.15</v>
      </c>
      <c r="G246" s="54">
        <f>myParidad('Flujo de Fondos'!$N$5,$A246,F246,'Flujo de Fondos'!$N$7,'Flujo de Fondos'!$N$6)</f>
        <v/>
      </c>
      <c r="H246" s="53" t="n">
        <v>42.5</v>
      </c>
      <c r="I246" s="54">
        <f>myParidad('Flujo de Fondos'!$T$5,$A246,H246,'Flujo de Fondos'!$T$7,'Flujo de Fondos'!$T$6)</f>
        <v/>
      </c>
      <c r="J246" s="53" t="n">
        <v>35.45</v>
      </c>
      <c r="K246" s="54">
        <f>myParidad('Flujo de Fondos'!$B$34,$A246,J246,'Flujo de Fondos'!$B$36,'Flujo de Fondos'!$B$35)</f>
        <v/>
      </c>
      <c r="L246" s="53" t="n">
        <v>37.28</v>
      </c>
      <c r="M246" s="54">
        <f>myParidad('Flujo de Fondos'!$H$34,'Paridad usd'!$A246,'Paridad usd'!L246,'Flujo de Fondos'!$H$36,'Flujo de Fondos'!$H$35)</f>
        <v/>
      </c>
      <c r="N246" s="56" t="n">
        <v>34.15</v>
      </c>
      <c r="O246" s="54">
        <f>myParidad('Flujo de Fondos'!$N$34,'Paridad usd'!$A246,'Paridad usd'!N246,'Flujo de Fondos'!$N$36,'Flujo de Fondos'!$N$35)</f>
        <v/>
      </c>
      <c r="P246" s="57">
        <f>C246-G246</f>
        <v/>
      </c>
      <c r="Q246" s="57">
        <f>E246-C246</f>
        <v/>
      </c>
      <c r="R246" s="57">
        <f>C246-M246</f>
        <v/>
      </c>
      <c r="S246" s="55">
        <f>C246-O246</f>
        <v/>
      </c>
      <c r="T246" s="57">
        <f>E246-O246</f>
        <v/>
      </c>
      <c r="U246" s="57">
        <f>G246-O246</f>
        <v/>
      </c>
      <c r="V246" s="57">
        <f>G246-K246</f>
        <v/>
      </c>
      <c r="W246" s="57">
        <f>C246-K246</f>
        <v/>
      </c>
      <c r="X246" s="67">
        <f>I246-G246</f>
        <v/>
      </c>
      <c r="Y246" s="75">
        <f>G246-M246</f>
        <v/>
      </c>
    </row>
    <row r="247">
      <c r="A247" s="52" t="n">
        <v>44126</v>
      </c>
      <c r="B247" s="53" t="n">
        <v>42.1</v>
      </c>
      <c r="C247" s="54">
        <f>myParidad('Flujo de Fondos'!$B$5,A247,B247,'Flujo de Fondos'!$B$7,'Flujo de Fondos'!$B$6)</f>
        <v/>
      </c>
      <c r="D247" s="53" t="n">
        <v>48</v>
      </c>
      <c r="E247" s="55">
        <f>myParidad('Flujo de Fondos'!$H$5,$A247,D247,'Flujo de Fondos'!$H$7,'Flujo de Fondos'!$H$6)</f>
        <v/>
      </c>
      <c r="F247" s="53" t="n">
        <v>40.1</v>
      </c>
      <c r="G247" s="54">
        <f>myParidad('Flujo de Fondos'!$N$5,$A247,F247,'Flujo de Fondos'!$N$7,'Flujo de Fondos'!$N$6)</f>
        <v/>
      </c>
      <c r="H247" s="53" t="n">
        <v>41.5</v>
      </c>
      <c r="I247" s="54">
        <f>myParidad('Flujo de Fondos'!$T$5,$A247,H247,'Flujo de Fondos'!$T$7,'Flujo de Fondos'!$T$6)</f>
        <v/>
      </c>
      <c r="J247" s="53" t="n">
        <v>35</v>
      </c>
      <c r="K247" s="54">
        <f>myParidad('Flujo de Fondos'!$B$34,$A247,J247,'Flujo de Fondos'!$B$36,'Flujo de Fondos'!$B$35)</f>
        <v/>
      </c>
      <c r="L247" s="53" t="n">
        <v>37.74</v>
      </c>
      <c r="M247" s="54">
        <f>myParidad('Flujo de Fondos'!$H$34,'Paridad usd'!$A247,'Paridad usd'!L247,'Flujo de Fondos'!$H$36,'Flujo de Fondos'!$H$35)</f>
        <v/>
      </c>
      <c r="N247" s="56" t="n">
        <v>34.6</v>
      </c>
      <c r="O247" s="54">
        <f>myParidad('Flujo de Fondos'!$N$34,'Paridad usd'!$A247,'Paridad usd'!N247,'Flujo de Fondos'!$N$36,'Flujo de Fondos'!$N$35)</f>
        <v/>
      </c>
      <c r="P247" s="57">
        <f>C247-G247</f>
        <v/>
      </c>
      <c r="Q247" s="57">
        <f>E247-C247</f>
        <v/>
      </c>
      <c r="R247" s="57">
        <f>C247-M247</f>
        <v/>
      </c>
      <c r="S247" s="55">
        <f>C247-O247</f>
        <v/>
      </c>
      <c r="T247" s="57">
        <f>E247-O247</f>
        <v/>
      </c>
      <c r="U247" s="57">
        <f>G247-O247</f>
        <v/>
      </c>
      <c r="V247" s="57">
        <f>G247-K247</f>
        <v/>
      </c>
      <c r="W247" s="57">
        <f>C247-K247</f>
        <v/>
      </c>
      <c r="X247" s="67">
        <f>I247-G247</f>
        <v/>
      </c>
      <c r="Y247" s="75">
        <f>G247-M247</f>
        <v/>
      </c>
    </row>
    <row r="248">
      <c r="A248" s="52" t="n">
        <v>44125</v>
      </c>
      <c r="B248" s="53" t="n">
        <v>41.18</v>
      </c>
      <c r="C248" s="54">
        <f>myParidad('Flujo de Fondos'!$B$5,A248,B248,'Flujo de Fondos'!$B$7,'Flujo de Fondos'!$B$6)</f>
        <v/>
      </c>
      <c r="D248" s="53" t="n">
        <v>44.3</v>
      </c>
      <c r="E248" s="55">
        <f>myParidad('Flujo de Fondos'!$H$5,$A248,D248,'Flujo de Fondos'!$H$7,'Flujo de Fondos'!$H$6)</f>
        <v/>
      </c>
      <c r="F248" s="53" t="n">
        <v>40.3</v>
      </c>
      <c r="G248" s="54">
        <f>myParidad('Flujo de Fondos'!$N$5,$A248,F248,'Flujo de Fondos'!$N$7,'Flujo de Fondos'!$N$6)</f>
        <v/>
      </c>
      <c r="H248" s="53" t="n">
        <v>40.55</v>
      </c>
      <c r="I248" s="54">
        <f>myParidad('Flujo de Fondos'!$T$5,$A248,H248,'Flujo de Fondos'!$T$7,'Flujo de Fondos'!$T$6)</f>
        <v/>
      </c>
      <c r="J248" s="53" t="n">
        <v>34.5</v>
      </c>
      <c r="K248" s="54">
        <f>myParidad('Flujo de Fondos'!$B$34,$A248,J248,'Flujo de Fondos'!$B$36,'Flujo de Fondos'!$B$35)</f>
        <v/>
      </c>
      <c r="L248" s="53" t="n">
        <v>36.75</v>
      </c>
      <c r="M248" s="54">
        <f>myParidad('Flujo de Fondos'!$H$34,'Paridad usd'!$A248,'Paridad usd'!L248,'Flujo de Fondos'!$H$36,'Flujo de Fondos'!$H$35)</f>
        <v/>
      </c>
      <c r="N248" s="56" t="n">
        <v>33.95</v>
      </c>
      <c r="O248" s="54">
        <f>myParidad('Flujo de Fondos'!$N$34,'Paridad usd'!$A248,'Paridad usd'!N248,'Flujo de Fondos'!$N$36,'Flujo de Fondos'!$N$35)</f>
        <v/>
      </c>
      <c r="P248" s="57">
        <f>C248-G248</f>
        <v/>
      </c>
      <c r="Q248" s="57">
        <f>E248-C248</f>
        <v/>
      </c>
      <c r="R248" s="57">
        <f>C248-M248</f>
        <v/>
      </c>
      <c r="S248" s="55">
        <f>C248-O248</f>
        <v/>
      </c>
      <c r="T248" s="57">
        <f>E248-O248</f>
        <v/>
      </c>
      <c r="U248" s="57">
        <f>G248-O248</f>
        <v/>
      </c>
      <c r="V248" s="57">
        <f>G248-K248</f>
        <v/>
      </c>
      <c r="W248" s="57">
        <f>C248-K248</f>
        <v/>
      </c>
      <c r="X248" s="67">
        <f>I248-G248</f>
        <v/>
      </c>
      <c r="Y248" s="75">
        <f>G248-M248</f>
        <v/>
      </c>
    </row>
    <row r="249">
      <c r="A249" s="52" t="n">
        <v>44124</v>
      </c>
      <c r="B249" s="53" t="n">
        <v>41.7</v>
      </c>
      <c r="C249" s="54">
        <f>myParidad('Flujo de Fondos'!$B$5,A249,B249,'Flujo de Fondos'!$B$7,'Flujo de Fondos'!$B$6)</f>
        <v/>
      </c>
      <c r="D249" s="53" t="n">
        <v>44.5</v>
      </c>
      <c r="E249" s="55">
        <f>myParidad('Flujo de Fondos'!$H$5,$A249,D249,'Flujo de Fondos'!$H$7,'Flujo de Fondos'!$H$6)</f>
        <v/>
      </c>
      <c r="F249" s="53" t="n">
        <v>41.38</v>
      </c>
      <c r="G249" s="54">
        <f>myParidad('Flujo de Fondos'!$N$5,$A249,F249,'Flujo de Fondos'!$N$7,'Flujo de Fondos'!$N$6)</f>
        <v/>
      </c>
      <c r="H249" s="53" t="n">
        <v>41.7</v>
      </c>
      <c r="I249" s="54">
        <f>myParidad('Flujo de Fondos'!$T$5,$A249,H249,'Flujo de Fondos'!$T$7,'Flujo de Fondos'!$T$6)</f>
        <v/>
      </c>
      <c r="J249" s="53" t="n">
        <v>36.04</v>
      </c>
      <c r="K249" s="54">
        <f>myParidad('Flujo de Fondos'!$B$34,$A249,J249,'Flujo de Fondos'!$B$36,'Flujo de Fondos'!$B$35)</f>
        <v/>
      </c>
      <c r="L249" s="53" t="n">
        <v>37.8</v>
      </c>
      <c r="M249" s="54">
        <f>myParidad('Flujo de Fondos'!$H$34,'Paridad usd'!$A249,'Paridad usd'!L249,'Flujo de Fondos'!$H$36,'Flujo de Fondos'!$H$35)</f>
        <v/>
      </c>
      <c r="N249" s="56" t="n">
        <v>34.8</v>
      </c>
      <c r="O249" s="54">
        <f>myParidad('Flujo de Fondos'!$N$34,'Paridad usd'!$A249,'Paridad usd'!N249,'Flujo de Fondos'!$N$36,'Flujo de Fondos'!$N$35)</f>
        <v/>
      </c>
      <c r="P249" s="57">
        <f>C249-G249</f>
        <v/>
      </c>
      <c r="Q249" s="57">
        <f>E249-C249</f>
        <v/>
      </c>
      <c r="R249" s="57">
        <f>C249-M249</f>
        <v/>
      </c>
      <c r="S249" s="55">
        <f>C249-O249</f>
        <v/>
      </c>
      <c r="T249" s="57">
        <f>E249-O249</f>
        <v/>
      </c>
      <c r="U249" s="57">
        <f>G249-O249</f>
        <v/>
      </c>
      <c r="V249" s="57">
        <f>G249-K249</f>
        <v/>
      </c>
      <c r="W249" s="57">
        <f>C249-K249</f>
        <v/>
      </c>
      <c r="X249" s="67">
        <f>I249-G249</f>
        <v/>
      </c>
      <c r="Y249" s="75">
        <f>G249-M249</f>
        <v/>
      </c>
    </row>
    <row r="250">
      <c r="A250" s="52" t="n">
        <v>44123</v>
      </c>
      <c r="B250" s="53" t="n">
        <v>43.51</v>
      </c>
      <c r="C250" s="54">
        <f>myParidad('Flujo de Fondos'!$B$5,A250,B250,'Flujo de Fondos'!$B$7,'Flujo de Fondos'!$B$6)</f>
        <v/>
      </c>
      <c r="D250" s="53" t="n">
        <v>45.1</v>
      </c>
      <c r="E250" s="55">
        <f>myParidad('Flujo de Fondos'!$H$5,$A250,D250,'Flujo de Fondos'!$H$7,'Flujo de Fondos'!$H$6)</f>
        <v/>
      </c>
      <c r="F250" s="53" t="n">
        <v>43.35</v>
      </c>
      <c r="G250" s="54">
        <f>myParidad('Flujo de Fondos'!$N$5,$A250,F250,'Flujo de Fondos'!$N$7,'Flujo de Fondos'!$N$6)</f>
        <v/>
      </c>
      <c r="H250" s="53" t="n">
        <v>43.8</v>
      </c>
      <c r="I250" s="54">
        <f>myParidad('Flujo de Fondos'!$T$5,$A250,H250,'Flujo de Fondos'!$T$7,'Flujo de Fondos'!$T$6)</f>
        <v/>
      </c>
      <c r="J250" s="53" t="n">
        <v>35.95</v>
      </c>
      <c r="K250" s="54">
        <f>myParidad('Flujo de Fondos'!$B$34,$A250,J250,'Flujo de Fondos'!$B$36,'Flujo de Fondos'!$B$35)</f>
        <v/>
      </c>
      <c r="L250" s="53" t="n">
        <v>38.85</v>
      </c>
      <c r="M250" s="54">
        <f>myParidad('Flujo de Fondos'!$H$34,'Paridad usd'!$A250,'Paridad usd'!L250,'Flujo de Fondos'!$H$36,'Flujo de Fondos'!$H$35)</f>
        <v/>
      </c>
      <c r="N250" s="56" t="n">
        <v>35.8</v>
      </c>
      <c r="O250" s="54">
        <f>myParidad('Flujo de Fondos'!$N$34,'Paridad usd'!$A250,'Paridad usd'!N250,'Flujo de Fondos'!$N$36,'Flujo de Fondos'!$N$35)</f>
        <v/>
      </c>
      <c r="P250" s="57">
        <f>C250-G250</f>
        <v/>
      </c>
      <c r="Q250" s="57">
        <f>E250-C250</f>
        <v/>
      </c>
      <c r="R250" s="57">
        <f>C250-M250</f>
        <v/>
      </c>
      <c r="S250" s="55">
        <f>C250-O250</f>
        <v/>
      </c>
      <c r="T250" s="57">
        <f>E250-O250</f>
        <v/>
      </c>
      <c r="U250" s="57">
        <f>G250-O250</f>
        <v/>
      </c>
      <c r="V250" s="57">
        <f>G250-K250</f>
        <v/>
      </c>
      <c r="W250" s="57">
        <f>C250-K250</f>
        <v/>
      </c>
      <c r="X250" s="67">
        <f>I250-G250</f>
        <v/>
      </c>
      <c r="Y250" s="75">
        <f>G250-M250</f>
        <v/>
      </c>
    </row>
    <row r="251">
      <c r="A251" s="52" t="n">
        <v>44120</v>
      </c>
      <c r="B251" s="53" t="n">
        <v>44.3</v>
      </c>
      <c r="C251" s="54">
        <f>myParidad('Flujo de Fondos'!$B$5,A251,B251,'Flujo de Fondos'!$B$7,'Flujo de Fondos'!$B$6)</f>
        <v/>
      </c>
      <c r="D251" s="53" t="n">
        <v>47</v>
      </c>
      <c r="E251" s="55">
        <f>myParidad('Flujo de Fondos'!$H$5,$A251,D251,'Flujo de Fondos'!$H$7,'Flujo de Fondos'!$H$6)</f>
        <v/>
      </c>
      <c r="F251" s="53" t="n">
        <v>44.19</v>
      </c>
      <c r="G251" s="54">
        <f>myParidad('Flujo de Fondos'!$N$5,$A251,F251,'Flujo de Fondos'!$N$7,'Flujo de Fondos'!$N$6)</f>
        <v/>
      </c>
      <c r="H251" s="53" t="n">
        <v>44.3</v>
      </c>
      <c r="I251" s="54">
        <f>myParidad('Flujo de Fondos'!$T$5,$A251,H251,'Flujo de Fondos'!$T$7,'Flujo de Fondos'!$T$6)</f>
        <v/>
      </c>
      <c r="J251" s="53" t="n">
        <v>37.67</v>
      </c>
      <c r="K251" s="54">
        <f>myParidad('Flujo de Fondos'!$B$34,$A251,J251,'Flujo de Fondos'!$B$36,'Flujo de Fondos'!$B$35)</f>
        <v/>
      </c>
      <c r="L251" s="53" t="n">
        <v>39.8</v>
      </c>
      <c r="M251" s="54">
        <f>myParidad('Flujo de Fondos'!$H$34,'Paridad usd'!$A251,'Paridad usd'!L251,'Flujo de Fondos'!$H$36,'Flujo de Fondos'!$H$35)</f>
        <v/>
      </c>
      <c r="N251" s="56" t="n">
        <v>35.8</v>
      </c>
      <c r="O251" s="54">
        <f>myParidad('Flujo de Fondos'!$N$34,'Paridad usd'!$A251,'Paridad usd'!N251,'Flujo de Fondos'!$N$36,'Flujo de Fondos'!$N$35)</f>
        <v/>
      </c>
      <c r="P251" s="57">
        <f>C251-G251</f>
        <v/>
      </c>
      <c r="Q251" s="57">
        <f>E251-C251</f>
        <v/>
      </c>
      <c r="R251" s="57">
        <f>C251-M251</f>
        <v/>
      </c>
      <c r="S251" s="55">
        <f>C251-O251</f>
        <v/>
      </c>
      <c r="T251" s="57">
        <f>E251-O251</f>
        <v/>
      </c>
      <c r="U251" s="57">
        <f>G251-O251</f>
        <v/>
      </c>
      <c r="V251" s="57">
        <f>G251-K251</f>
        <v/>
      </c>
      <c r="W251" s="57">
        <f>C251-K251</f>
        <v/>
      </c>
      <c r="X251" s="67">
        <f>I251-G251</f>
        <v/>
      </c>
      <c r="Y251" s="75">
        <f>G251-M251</f>
        <v/>
      </c>
    </row>
    <row r="252">
      <c r="A252" s="52" t="n">
        <v>44119</v>
      </c>
      <c r="B252" s="53" t="n">
        <v>44.56</v>
      </c>
      <c r="C252" s="54">
        <f>myParidad('Flujo de Fondos'!$B$5,A252,B252,'Flujo de Fondos'!$B$7,'Flujo de Fondos'!$B$6)</f>
        <v/>
      </c>
      <c r="D252" s="53" t="n">
        <v>46.46</v>
      </c>
      <c r="E252" s="55">
        <f>myParidad('Flujo de Fondos'!$H$5,$A252,D252,'Flujo de Fondos'!$H$7,'Flujo de Fondos'!$H$6)</f>
        <v/>
      </c>
      <c r="F252" s="53" t="n">
        <v>44.4</v>
      </c>
      <c r="G252" s="54">
        <f>myParidad('Flujo de Fondos'!$N$5,$A252,F252,'Flujo de Fondos'!$N$7,'Flujo de Fondos'!$N$6)</f>
        <v/>
      </c>
      <c r="H252" s="53" t="n">
        <v>44.5</v>
      </c>
      <c r="I252" s="54">
        <f>myParidad('Flujo de Fondos'!$T$5,$A252,H252,'Flujo de Fondos'!$T$7,'Flujo de Fondos'!$T$6)</f>
        <v/>
      </c>
      <c r="J252" s="53" t="n">
        <v>38</v>
      </c>
      <c r="K252" s="54">
        <f>myParidad('Flujo de Fondos'!$B$34,$A252,J252,'Flujo de Fondos'!$B$36,'Flujo de Fondos'!$B$35)</f>
        <v/>
      </c>
      <c r="L252" s="53" t="n">
        <v>40.39</v>
      </c>
      <c r="M252" s="54">
        <f>myParidad('Flujo de Fondos'!$H$34,'Paridad usd'!$A252,'Paridad usd'!L252,'Flujo de Fondos'!$H$36,'Flujo de Fondos'!$H$35)</f>
        <v/>
      </c>
      <c r="N252" s="56" t="n">
        <v>36.5</v>
      </c>
      <c r="O252" s="54">
        <f>myParidad('Flujo de Fondos'!$N$34,'Paridad usd'!$A252,'Paridad usd'!N252,'Flujo de Fondos'!$N$36,'Flujo de Fondos'!$N$35)</f>
        <v/>
      </c>
      <c r="P252" s="57">
        <f>C252-G252</f>
        <v/>
      </c>
      <c r="Q252" s="57">
        <f>E252-C252</f>
        <v/>
      </c>
      <c r="R252" s="57">
        <f>C252-M252</f>
        <v/>
      </c>
      <c r="S252" s="55">
        <f>C252-O252</f>
        <v/>
      </c>
      <c r="T252" s="57">
        <f>E252-O252</f>
        <v/>
      </c>
      <c r="U252" s="57">
        <f>G252-O252</f>
        <v/>
      </c>
      <c r="V252" s="57">
        <f>G252-K252</f>
        <v/>
      </c>
      <c r="W252" s="57">
        <f>C252-K252</f>
        <v/>
      </c>
      <c r="X252" s="67">
        <f>I252-G252</f>
        <v/>
      </c>
      <c r="Y252" s="75">
        <f>G252-M252</f>
        <v/>
      </c>
    </row>
    <row r="253">
      <c r="A253" s="52" t="n">
        <v>44118</v>
      </c>
      <c r="B253" s="53" t="n">
        <v>44.9</v>
      </c>
      <c r="C253" s="54">
        <f>myParidad('Flujo de Fondos'!$B$5,A253,B253,'Flujo de Fondos'!$B$7,'Flujo de Fondos'!$B$6)</f>
        <v/>
      </c>
      <c r="D253" s="53" t="n">
        <v>48.4</v>
      </c>
      <c r="E253" s="55">
        <f>myParidad('Flujo de Fondos'!$H$5,$A253,D253,'Flujo de Fondos'!$H$7,'Flujo de Fondos'!$H$6)</f>
        <v/>
      </c>
      <c r="F253" s="53" t="n">
        <v>44.45</v>
      </c>
      <c r="G253" s="54">
        <f>myParidad('Flujo de Fondos'!$N$5,$A253,F253,'Flujo de Fondos'!$N$7,'Flujo de Fondos'!$N$6)</f>
        <v/>
      </c>
      <c r="H253" s="53" t="n">
        <v>45.5</v>
      </c>
      <c r="I253" s="54">
        <f>myParidad('Flujo de Fondos'!$T$5,$A253,H253,'Flujo de Fondos'!$T$7,'Flujo de Fondos'!$T$6)</f>
        <v/>
      </c>
      <c r="J253" s="53" t="n">
        <v>39.38</v>
      </c>
      <c r="K253" s="54">
        <f>myParidad('Flujo de Fondos'!$B$34,$A253,J253,'Flujo de Fondos'!$B$36,'Flujo de Fondos'!$B$35)</f>
        <v/>
      </c>
      <c r="L253" s="53" t="n">
        <v>41.08</v>
      </c>
      <c r="M253" s="54">
        <f>myParidad('Flujo de Fondos'!$H$34,'Paridad usd'!$A253,'Paridad usd'!L253,'Flujo de Fondos'!$H$36,'Flujo de Fondos'!$H$35)</f>
        <v/>
      </c>
      <c r="N253" s="56" t="n">
        <v>38.2</v>
      </c>
      <c r="O253" s="54">
        <f>myParidad('Flujo de Fondos'!$N$34,'Paridad usd'!$A253,'Paridad usd'!N253,'Flujo de Fondos'!$N$36,'Flujo de Fondos'!$N$35)</f>
        <v/>
      </c>
      <c r="P253" s="57">
        <f>C253-G253</f>
        <v/>
      </c>
      <c r="Q253" s="57">
        <f>E253-C253</f>
        <v/>
      </c>
      <c r="R253" s="57">
        <f>C253-M253</f>
        <v/>
      </c>
      <c r="S253" s="55">
        <f>C253-O253</f>
        <v/>
      </c>
      <c r="T253" s="57">
        <f>E253-O253</f>
        <v/>
      </c>
      <c r="U253" s="57">
        <f>G253-O253</f>
        <v/>
      </c>
      <c r="V253" s="57">
        <f>G253-K253</f>
        <v/>
      </c>
      <c r="W253" s="57">
        <f>C253-K253</f>
        <v/>
      </c>
      <c r="X253" s="67">
        <f>I253-G253</f>
        <v/>
      </c>
      <c r="Y253" s="75">
        <f>G253-M253</f>
        <v/>
      </c>
    </row>
    <row r="254">
      <c r="A254" s="52" t="n">
        <v>44117</v>
      </c>
      <c r="B254" s="53" t="n">
        <v>45.45</v>
      </c>
      <c r="C254" s="54">
        <f>myParidad('Flujo de Fondos'!$B$5,A254,B254,'Flujo de Fondos'!$B$7,'Flujo de Fondos'!$B$6)</f>
        <v/>
      </c>
      <c r="D254" s="53" t="n">
        <v>48.4</v>
      </c>
      <c r="E254" s="55">
        <f>myParidad('Flujo de Fondos'!$H$5,$A254,D254,'Flujo de Fondos'!$H$7,'Flujo de Fondos'!$H$6)</f>
        <v/>
      </c>
      <c r="F254" s="53" t="n">
        <v>44.74</v>
      </c>
      <c r="G254" s="54">
        <f>myParidad('Flujo de Fondos'!$N$5,$A254,F254,'Flujo de Fondos'!$N$7,'Flujo de Fondos'!$N$6)</f>
        <v/>
      </c>
      <c r="H254" s="53" t="n">
        <v>45.01</v>
      </c>
      <c r="I254" s="54">
        <f>myParidad('Flujo de Fondos'!$T$5,$A254,H254,'Flujo de Fondos'!$T$7,'Flujo de Fondos'!$T$6)</f>
        <v/>
      </c>
      <c r="J254" s="53" t="n">
        <v>39.7</v>
      </c>
      <c r="K254" s="54">
        <f>myParidad('Flujo de Fondos'!$B$34,$A254,J254,'Flujo de Fondos'!$B$36,'Flujo de Fondos'!$B$35)</f>
        <v/>
      </c>
      <c r="L254" s="53" t="n">
        <v>41.56</v>
      </c>
      <c r="M254" s="54">
        <f>myParidad('Flujo de Fondos'!$H$34,'Paridad usd'!$A254,'Paridad usd'!L254,'Flujo de Fondos'!$H$36,'Flujo de Fondos'!$H$35)</f>
        <v/>
      </c>
      <c r="N254" s="56" t="n">
        <v>39.25</v>
      </c>
      <c r="O254" s="54">
        <f>myParidad('Flujo de Fondos'!$N$34,'Paridad usd'!$A254,'Paridad usd'!N254,'Flujo de Fondos'!$N$36,'Flujo de Fondos'!$N$35)</f>
        <v/>
      </c>
      <c r="P254" s="57">
        <f>C254-G254</f>
        <v/>
      </c>
      <c r="Q254" s="57">
        <f>E254-C254</f>
        <v/>
      </c>
      <c r="R254" s="57">
        <f>C254-M254</f>
        <v/>
      </c>
      <c r="S254" s="55">
        <f>C254-O254</f>
        <v/>
      </c>
      <c r="T254" s="57">
        <f>E254-O254</f>
        <v/>
      </c>
      <c r="U254" s="57">
        <f>G254-O254</f>
        <v/>
      </c>
      <c r="V254" s="57">
        <f>G254-K254</f>
        <v/>
      </c>
      <c r="W254" s="57">
        <f>C254-K254</f>
        <v/>
      </c>
      <c r="X254" s="67">
        <f>I254-G254</f>
        <v/>
      </c>
      <c r="Y254" s="75">
        <f>G254-M254</f>
        <v/>
      </c>
    </row>
    <row r="255">
      <c r="A255" s="52" t="n">
        <v>44113</v>
      </c>
      <c r="B255" s="53" t="n">
        <v>45.63</v>
      </c>
      <c r="C255" s="54">
        <f>myParidad('Flujo de Fondos'!$B$5,A255,B255,'Flujo de Fondos'!$B$7,'Flujo de Fondos'!$B$6)</f>
        <v/>
      </c>
      <c r="D255" s="53" t="n">
        <v>48.6</v>
      </c>
      <c r="E255" s="55">
        <f>myParidad('Flujo de Fondos'!$H$5,$A255,D255,'Flujo de Fondos'!$H$7,'Flujo de Fondos'!$H$6)</f>
        <v/>
      </c>
      <c r="F255" s="53" t="n">
        <v>44.73</v>
      </c>
      <c r="G255" s="54">
        <f>myParidad('Flujo de Fondos'!$N$5,$A255,F255,'Flujo de Fondos'!$N$7,'Flujo de Fondos'!$N$6)</f>
        <v/>
      </c>
      <c r="H255" s="53" t="n">
        <v>45.02</v>
      </c>
      <c r="I255" s="54">
        <f>myParidad('Flujo de Fondos'!$T$5,$A255,H255,'Flujo de Fondos'!$T$7,'Flujo de Fondos'!$T$6)</f>
        <v/>
      </c>
      <c r="J255" s="53" t="n">
        <v>40</v>
      </c>
      <c r="K255" s="54">
        <f>myParidad('Flujo de Fondos'!$B$34,$A255,J255,'Flujo de Fondos'!$B$36,'Flujo de Fondos'!$B$35)</f>
        <v/>
      </c>
      <c r="L255" s="53" t="n">
        <v>41.56</v>
      </c>
      <c r="M255" s="54">
        <f>myParidad('Flujo de Fondos'!$H$34,'Paridad usd'!$A255,'Paridad usd'!L255,'Flujo de Fondos'!$H$36,'Flujo de Fondos'!$H$35)</f>
        <v/>
      </c>
      <c r="N255" s="56" t="n">
        <v>39.5</v>
      </c>
      <c r="O255" s="54">
        <f>myParidad('Flujo de Fondos'!$N$34,'Paridad usd'!$A255,'Paridad usd'!N255,'Flujo de Fondos'!$N$36,'Flujo de Fondos'!$N$35)</f>
        <v/>
      </c>
      <c r="P255" s="57">
        <f>C255-G255</f>
        <v/>
      </c>
      <c r="Q255" s="57">
        <f>E255-C255</f>
        <v/>
      </c>
      <c r="R255" s="57">
        <f>C255-M255</f>
        <v/>
      </c>
      <c r="S255" s="55">
        <f>C255-O255</f>
        <v/>
      </c>
      <c r="T255" s="57">
        <f>E255-O255</f>
        <v/>
      </c>
      <c r="U255" s="57">
        <f>G255-O255</f>
        <v/>
      </c>
      <c r="V255" s="57">
        <f>G255-K255</f>
        <v/>
      </c>
      <c r="W255" s="57">
        <f>C255-K255</f>
        <v/>
      </c>
      <c r="X255" s="67">
        <f>I255-G255</f>
        <v/>
      </c>
      <c r="Y255" s="75">
        <f>G255-M255</f>
        <v/>
      </c>
    </row>
    <row r="256">
      <c r="A256" s="52" t="n">
        <v>44112</v>
      </c>
      <c r="B256" s="53" t="n">
        <v>45.32</v>
      </c>
      <c r="C256" s="54">
        <f>myParidad('Flujo de Fondos'!$B$5,A256,B256,'Flujo de Fondos'!$B$7,'Flujo de Fondos'!$B$6)</f>
        <v/>
      </c>
      <c r="D256" s="53" t="n">
        <v>48.75</v>
      </c>
      <c r="E256" s="55">
        <f>myParidad('Flujo de Fondos'!$H$5,$A256,D256,'Flujo de Fondos'!$H$7,'Flujo de Fondos'!$H$6)</f>
        <v/>
      </c>
      <c r="F256" s="53" t="n">
        <v>44.7</v>
      </c>
      <c r="G256" s="54">
        <f>myParidad('Flujo de Fondos'!$N$5,$A256,F256,'Flujo de Fondos'!$N$7,'Flujo de Fondos'!$N$6)</f>
        <v/>
      </c>
      <c r="H256" s="53" t="n">
        <v>44.8</v>
      </c>
      <c r="I256" s="54">
        <f>myParidad('Flujo de Fondos'!$T$5,$A256,H256,'Flujo de Fondos'!$T$7,'Flujo de Fondos'!$T$6)</f>
        <v/>
      </c>
      <c r="J256" s="53" t="n">
        <v>39.88</v>
      </c>
      <c r="K256" s="54">
        <f>myParidad('Flujo de Fondos'!$B$34,$A256,J256,'Flujo de Fondos'!$B$36,'Flujo de Fondos'!$B$35)</f>
        <v/>
      </c>
      <c r="L256" s="53" t="n">
        <v>41.44</v>
      </c>
      <c r="M256" s="54">
        <f>myParidad('Flujo de Fondos'!$H$34,'Paridad usd'!$A256,'Paridad usd'!L256,'Flujo de Fondos'!$H$36,'Flujo de Fondos'!$H$35)</f>
        <v/>
      </c>
      <c r="N256" s="56" t="n">
        <v>39.5</v>
      </c>
      <c r="O256" s="54">
        <f>myParidad('Flujo de Fondos'!$N$34,'Paridad usd'!$A256,'Paridad usd'!N256,'Flujo de Fondos'!$N$36,'Flujo de Fondos'!$N$35)</f>
        <v/>
      </c>
      <c r="P256" s="57">
        <f>C256-G256</f>
        <v/>
      </c>
      <c r="Q256" s="57">
        <f>E256-C256</f>
        <v/>
      </c>
      <c r="R256" s="57">
        <f>C256-M256</f>
        <v/>
      </c>
      <c r="S256" s="55">
        <f>C256-O256</f>
        <v/>
      </c>
      <c r="T256" s="57">
        <f>E256-O256</f>
        <v/>
      </c>
      <c r="U256" s="57">
        <f>G256-O256</f>
        <v/>
      </c>
      <c r="V256" s="57">
        <f>G256-K256</f>
        <v/>
      </c>
      <c r="W256" s="57">
        <f>C256-K256</f>
        <v/>
      </c>
      <c r="X256" s="67">
        <f>I256-G256</f>
        <v/>
      </c>
      <c r="Y256" s="75">
        <f>G256-M256</f>
        <v/>
      </c>
    </row>
    <row r="257">
      <c r="A257" s="52" t="n">
        <v>44111</v>
      </c>
      <c r="B257" s="53" t="n">
        <v>45.44</v>
      </c>
      <c r="C257" s="54">
        <f>myParidad('Flujo de Fondos'!$B$5,A257,B257,'Flujo de Fondos'!$B$7,'Flujo de Fondos'!$B$6)</f>
        <v/>
      </c>
      <c r="D257" s="53" t="n">
        <v>47.7</v>
      </c>
      <c r="E257" s="55">
        <f>myParidad('Flujo de Fondos'!$H$5,$A257,D257,'Flujo de Fondos'!$H$7,'Flujo de Fondos'!$H$6)</f>
        <v/>
      </c>
      <c r="F257" s="53" t="n">
        <v>44.8</v>
      </c>
      <c r="G257" s="54">
        <f>myParidad('Flujo de Fondos'!$N$5,$A257,F257,'Flujo de Fondos'!$N$7,'Flujo de Fondos'!$N$6)</f>
        <v/>
      </c>
      <c r="H257" s="53" t="n">
        <v>44.5</v>
      </c>
      <c r="I257" s="54">
        <f>myParidad('Flujo de Fondos'!$T$5,$A257,H257,'Flujo de Fondos'!$T$7,'Flujo de Fondos'!$T$6)</f>
        <v/>
      </c>
      <c r="J257" s="53" t="n">
        <v>40.1</v>
      </c>
      <c r="K257" s="54">
        <f>myParidad('Flujo de Fondos'!$B$34,$A257,J257,'Flujo de Fondos'!$B$36,'Flujo de Fondos'!$B$35)</f>
        <v/>
      </c>
      <c r="L257" s="53" t="n">
        <v>41.6</v>
      </c>
      <c r="M257" s="54">
        <f>myParidad('Flujo de Fondos'!$H$34,'Paridad usd'!$A257,'Paridad usd'!L257,'Flujo de Fondos'!$H$36,'Flujo de Fondos'!$H$35)</f>
        <v/>
      </c>
      <c r="N257" s="56" t="n">
        <v>39.9</v>
      </c>
      <c r="O257" s="54">
        <f>myParidad('Flujo de Fondos'!$N$34,'Paridad usd'!$A257,'Paridad usd'!N257,'Flujo de Fondos'!$N$36,'Flujo de Fondos'!$N$35)</f>
        <v/>
      </c>
      <c r="P257" s="57">
        <f>C257-G257</f>
        <v/>
      </c>
      <c r="Q257" s="57">
        <f>E257-C257</f>
        <v/>
      </c>
      <c r="R257" s="57">
        <f>C257-M257</f>
        <v/>
      </c>
      <c r="S257" s="55">
        <f>C257-O257</f>
        <v/>
      </c>
      <c r="T257" s="57">
        <f>E257-O257</f>
        <v/>
      </c>
      <c r="U257" s="57">
        <f>G257-O257</f>
        <v/>
      </c>
      <c r="V257" s="57">
        <f>G257-K257</f>
        <v/>
      </c>
      <c r="W257" s="57">
        <f>C257-K257</f>
        <v/>
      </c>
      <c r="X257" s="67">
        <f>I257-G257</f>
        <v/>
      </c>
      <c r="Y257" s="75">
        <f>G257-M257</f>
        <v/>
      </c>
    </row>
    <row r="258">
      <c r="A258" s="52" t="n">
        <v>44110</v>
      </c>
      <c r="B258" s="53" t="n">
        <v>45.3</v>
      </c>
      <c r="C258" s="54">
        <f>myParidad('Flujo de Fondos'!$B$5,A258,B258,'Flujo de Fondos'!$B$7,'Flujo de Fondos'!$B$6)</f>
        <v/>
      </c>
      <c r="D258" s="53" t="n">
        <v>47.6</v>
      </c>
      <c r="E258" s="55">
        <f>myParidad('Flujo de Fondos'!$H$5,$A258,D258,'Flujo de Fondos'!$H$7,'Flujo de Fondos'!$H$6)</f>
        <v/>
      </c>
      <c r="F258" s="53" t="n">
        <v>44.45</v>
      </c>
      <c r="G258" s="54">
        <f>myParidad('Flujo de Fondos'!$N$5,$A258,F258,'Flujo de Fondos'!$N$7,'Flujo de Fondos'!$N$6)</f>
        <v/>
      </c>
      <c r="H258" s="53" t="n">
        <v>44</v>
      </c>
      <c r="I258" s="54">
        <f>myParidad('Flujo de Fondos'!$T$5,$A258,H258,'Flujo de Fondos'!$T$7,'Flujo de Fondos'!$T$6)</f>
        <v/>
      </c>
      <c r="J258" s="53" t="n">
        <v>39.96</v>
      </c>
      <c r="K258" s="54">
        <f>myParidad('Flujo de Fondos'!$B$34,$A258,J258,'Flujo de Fondos'!$B$36,'Flujo de Fondos'!$B$35)</f>
        <v/>
      </c>
      <c r="L258" s="53" t="n">
        <v>41.4</v>
      </c>
      <c r="M258" s="54">
        <f>myParidad('Flujo de Fondos'!$H$34,'Paridad usd'!$A258,'Paridad usd'!L258,'Flujo de Fondos'!$H$36,'Flujo de Fondos'!$H$35)</f>
        <v/>
      </c>
      <c r="N258" s="56" t="n">
        <v>39.99</v>
      </c>
      <c r="O258" s="54">
        <f>myParidad('Flujo de Fondos'!$N$34,'Paridad usd'!$A258,'Paridad usd'!N258,'Flujo de Fondos'!$N$36,'Flujo de Fondos'!$N$35)</f>
        <v/>
      </c>
      <c r="P258" s="57">
        <f>C258-G258</f>
        <v/>
      </c>
      <c r="Q258" s="57">
        <f>E258-C258</f>
        <v/>
      </c>
      <c r="R258" s="57">
        <f>C258-M258</f>
        <v/>
      </c>
      <c r="S258" s="55">
        <f>C258-O258</f>
        <v/>
      </c>
      <c r="T258" s="57">
        <f>E258-O258</f>
        <v/>
      </c>
      <c r="U258" s="57">
        <f>G258-O258</f>
        <v/>
      </c>
      <c r="V258" s="57">
        <f>G258-K258</f>
        <v/>
      </c>
      <c r="W258" s="57">
        <f>C258-K258</f>
        <v/>
      </c>
      <c r="X258" s="67">
        <f>I258-G258</f>
        <v/>
      </c>
      <c r="Y258" s="75">
        <f>G258-M258</f>
        <v/>
      </c>
    </row>
    <row r="259">
      <c r="A259" s="52" t="n">
        <v>44109</v>
      </c>
      <c r="B259" s="53" t="n">
        <v>45.39</v>
      </c>
      <c r="C259" s="54">
        <f>myParidad('Flujo de Fondos'!$B$5,A259,B259,'Flujo de Fondos'!$B$7,'Flujo de Fondos'!$B$6)</f>
        <v/>
      </c>
      <c r="D259" s="53" t="n">
        <v>47.99</v>
      </c>
      <c r="E259" s="55">
        <f>myParidad('Flujo de Fondos'!$H$5,$A259,D259,'Flujo de Fondos'!$H$7,'Flujo de Fondos'!$H$6)</f>
        <v/>
      </c>
      <c r="F259" s="53" t="n">
        <v>44.4</v>
      </c>
      <c r="G259" s="54">
        <f>myParidad('Flujo de Fondos'!$N$5,$A259,F259,'Flujo de Fondos'!$N$7,'Flujo de Fondos'!$N$6)</f>
        <v/>
      </c>
      <c r="H259" s="53" t="n">
        <v>43.45</v>
      </c>
      <c r="I259" s="54">
        <f>myParidad('Flujo de Fondos'!$T$5,$A259,H259,'Flujo de Fondos'!$T$7,'Flujo de Fondos'!$T$6)</f>
        <v/>
      </c>
      <c r="J259" s="53" t="n">
        <v>39.5</v>
      </c>
      <c r="K259" s="54">
        <f>myParidad('Flujo de Fondos'!$B$34,$A259,J259,'Flujo de Fondos'!$B$36,'Flujo de Fondos'!$B$35)</f>
        <v/>
      </c>
      <c r="L259" s="53" t="n">
        <v>41.65</v>
      </c>
      <c r="M259" s="54">
        <f>myParidad('Flujo de Fondos'!$H$34,'Paridad usd'!$A259,'Paridad usd'!L259,'Flujo de Fondos'!$H$36,'Flujo de Fondos'!$H$35)</f>
        <v/>
      </c>
      <c r="N259" s="56" t="n">
        <v>40</v>
      </c>
      <c r="O259" s="54">
        <f>myParidad('Flujo de Fondos'!$N$34,'Paridad usd'!$A259,'Paridad usd'!N259,'Flujo de Fondos'!$N$36,'Flujo de Fondos'!$N$35)</f>
        <v/>
      </c>
      <c r="P259" s="57">
        <f>C259-G259</f>
        <v/>
      </c>
      <c r="Q259" s="57">
        <f>E259-C259</f>
        <v/>
      </c>
      <c r="R259" s="57">
        <f>C259-M259</f>
        <v/>
      </c>
      <c r="S259" s="55">
        <f>C259-O259</f>
        <v/>
      </c>
      <c r="T259" s="57">
        <f>E259-O259</f>
        <v/>
      </c>
      <c r="U259" s="57">
        <f>G259-O259</f>
        <v/>
      </c>
      <c r="V259" s="57">
        <f>G259-K259</f>
        <v/>
      </c>
      <c r="W259" s="57">
        <f>C259-K259</f>
        <v/>
      </c>
      <c r="X259" s="67">
        <f>I259-G259</f>
        <v/>
      </c>
      <c r="Y259" s="75">
        <f>G259-M259</f>
        <v/>
      </c>
    </row>
    <row r="260">
      <c r="A260" s="52" t="n">
        <v>44106</v>
      </c>
      <c r="B260" s="53" t="n">
        <v>45.45</v>
      </c>
      <c r="C260" s="54">
        <f>myParidad('Flujo de Fondos'!$B$5,A260,B260,'Flujo de Fondos'!$B$7,'Flujo de Fondos'!$B$6)</f>
        <v/>
      </c>
      <c r="D260" s="53" t="n">
        <v>47.32</v>
      </c>
      <c r="E260" s="55">
        <f>myParidad('Flujo de Fondos'!$H$5,$A260,D260,'Flujo de Fondos'!$H$7,'Flujo de Fondos'!$H$6)</f>
        <v/>
      </c>
      <c r="F260" s="53" t="n">
        <v>44.3</v>
      </c>
      <c r="G260" s="54">
        <f>myParidad('Flujo de Fondos'!$N$5,$A260,F260,'Flujo de Fondos'!$N$7,'Flujo de Fondos'!$N$6)</f>
        <v/>
      </c>
      <c r="H260" s="53" t="n">
        <v>43.99</v>
      </c>
      <c r="I260" s="54">
        <f>myParidad('Flujo de Fondos'!$T$5,$A260,H260,'Flujo de Fondos'!$T$7,'Flujo de Fondos'!$T$6)</f>
        <v/>
      </c>
      <c r="J260" s="53" t="n">
        <v>40.05</v>
      </c>
      <c r="K260" s="54">
        <f>myParidad('Flujo de Fondos'!$B$34,$A260,J260,'Flujo de Fondos'!$B$36,'Flujo de Fondos'!$B$35)</f>
        <v/>
      </c>
      <c r="L260" s="53" t="n">
        <v>42.15</v>
      </c>
      <c r="M260" s="54">
        <f>myParidad('Flujo de Fondos'!$H$34,'Paridad usd'!$A260,'Paridad usd'!L260,'Flujo de Fondos'!$H$36,'Flujo de Fondos'!$H$35)</f>
        <v/>
      </c>
      <c r="N260" s="56" t="n">
        <v>40</v>
      </c>
      <c r="O260" s="54">
        <f>myParidad('Flujo de Fondos'!$N$34,'Paridad usd'!$A260,'Paridad usd'!N260,'Flujo de Fondos'!$N$36,'Flujo de Fondos'!$N$35)</f>
        <v/>
      </c>
      <c r="P260" s="57">
        <f>C260-G260</f>
        <v/>
      </c>
      <c r="Q260" s="57">
        <f>E260-C260</f>
        <v/>
      </c>
      <c r="R260" s="57">
        <f>C260-M260</f>
        <v/>
      </c>
      <c r="S260" s="55">
        <f>C260-O260</f>
        <v/>
      </c>
      <c r="T260" s="57">
        <f>E260-O260</f>
        <v/>
      </c>
      <c r="U260" s="57">
        <f>G260-O260</f>
        <v/>
      </c>
      <c r="V260" s="57">
        <f>G260-K260</f>
        <v/>
      </c>
      <c r="W260" s="57">
        <f>C260-K260</f>
        <v/>
      </c>
      <c r="X260" s="67">
        <f>I260-G260</f>
        <v/>
      </c>
      <c r="Y260" s="75">
        <f>G260-M260</f>
        <v/>
      </c>
    </row>
    <row r="261">
      <c r="A261" s="52" t="n">
        <v>44105</v>
      </c>
      <c r="B261" s="53" t="n">
        <v>46.25</v>
      </c>
      <c r="C261" s="54">
        <f>myParidad('Flujo de Fondos'!$B$5,A261,B261,'Flujo de Fondos'!$B$7,'Flujo de Fondos'!$B$6)</f>
        <v/>
      </c>
      <c r="D261" s="53" t="n">
        <v>48.32</v>
      </c>
      <c r="E261" s="55">
        <f>myParidad('Flujo de Fondos'!$H$5,$A261,D261,'Flujo de Fondos'!$H$7,'Flujo de Fondos'!$H$6)</f>
        <v/>
      </c>
      <c r="F261" s="53" t="n">
        <v>44.7</v>
      </c>
      <c r="G261" s="54">
        <f>myParidad('Flujo de Fondos'!$N$5,$A261,F261,'Flujo de Fondos'!$N$7,'Flujo de Fondos'!$N$6)</f>
        <v/>
      </c>
      <c r="H261" s="53" t="n">
        <v>44.4</v>
      </c>
      <c r="I261" s="54">
        <f>myParidad('Flujo de Fondos'!$T$5,$A261,H261,'Flujo de Fondos'!$T$7,'Flujo de Fondos'!$T$6)</f>
        <v/>
      </c>
      <c r="J261" s="53" t="n">
        <v>40.8</v>
      </c>
      <c r="K261" s="54">
        <f>myParidad('Flujo de Fondos'!$B$34,$A261,J261,'Flujo de Fondos'!$B$36,'Flujo de Fondos'!$B$35)</f>
        <v/>
      </c>
      <c r="L261" s="53" t="n">
        <v>42.9</v>
      </c>
      <c r="M261" s="54">
        <f>myParidad('Flujo de Fondos'!$H$34,'Paridad usd'!$A261,'Paridad usd'!L261,'Flujo de Fondos'!$H$36,'Flujo de Fondos'!$H$35)</f>
        <v/>
      </c>
      <c r="N261" s="56" t="n">
        <v>39.8</v>
      </c>
      <c r="O261" s="54">
        <f>myParidad('Flujo de Fondos'!$N$34,'Paridad usd'!$A261,'Paridad usd'!N261,'Flujo de Fondos'!$N$36,'Flujo de Fondos'!$N$35)</f>
        <v/>
      </c>
      <c r="P261" s="57">
        <f>C261-G261</f>
        <v/>
      </c>
      <c r="Q261" s="57">
        <f>E261-C261</f>
        <v/>
      </c>
      <c r="R261" s="57">
        <f>C261-M261</f>
        <v/>
      </c>
      <c r="S261" s="55">
        <f>C261-O261</f>
        <v/>
      </c>
      <c r="T261" s="57">
        <f>E261-O261</f>
        <v/>
      </c>
      <c r="U261" s="57">
        <f>G261-O261</f>
        <v/>
      </c>
      <c r="V261" s="57">
        <f>G261-K261</f>
        <v/>
      </c>
      <c r="W261" s="57">
        <f>C261-K261</f>
        <v/>
      </c>
      <c r="X261" s="67">
        <f>I261-G261</f>
        <v/>
      </c>
      <c r="Y261" s="75">
        <f>G261-M261</f>
        <v/>
      </c>
    </row>
    <row r="262">
      <c r="A262" s="52" t="n">
        <v>44104</v>
      </c>
      <c r="B262" s="53" t="n">
        <v>45.86</v>
      </c>
      <c r="C262" s="54">
        <f>myParidad('Flujo de Fondos'!$B$5,A262,B262,'Flujo de Fondos'!$B$7,'Flujo de Fondos'!$B$6)</f>
        <v/>
      </c>
      <c r="D262" s="53" t="n">
        <v>47.9</v>
      </c>
      <c r="E262" s="55">
        <f>myParidad('Flujo de Fondos'!$H$5,$A262,D262,'Flujo de Fondos'!$H$7,'Flujo de Fondos'!$H$6)</f>
        <v/>
      </c>
      <c r="F262" s="53" t="n">
        <v>44.6</v>
      </c>
      <c r="G262" s="54">
        <f>myParidad('Flujo de Fondos'!$N$5,$A262,F262,'Flujo de Fondos'!$N$7,'Flujo de Fondos'!$N$6)</f>
        <v/>
      </c>
      <c r="H262" s="53" t="n">
        <v>44.71</v>
      </c>
      <c r="I262" s="54">
        <f>myParidad('Flujo de Fondos'!$T$5,$A262,H262,'Flujo de Fondos'!$T$7,'Flujo de Fondos'!$T$6)</f>
        <v/>
      </c>
      <c r="J262" s="53" t="n">
        <v>40.74</v>
      </c>
      <c r="K262" s="54">
        <f>myParidad('Flujo de Fondos'!$B$34,$A262,J262,'Flujo de Fondos'!$B$36,'Flujo de Fondos'!$B$35)</f>
        <v/>
      </c>
      <c r="L262" s="53" t="n">
        <v>42.4</v>
      </c>
      <c r="M262" s="54">
        <f>myParidad('Flujo de Fondos'!$H$34,'Paridad usd'!$A262,'Paridad usd'!L262,'Flujo de Fondos'!$H$36,'Flujo de Fondos'!$H$35)</f>
        <v/>
      </c>
      <c r="N262" s="56" t="n">
        <v>39.02</v>
      </c>
      <c r="O262" s="54">
        <f>myParidad('Flujo de Fondos'!$N$34,'Paridad usd'!$A262,'Paridad usd'!N262,'Flujo de Fondos'!$N$36,'Flujo de Fondos'!$N$35)</f>
        <v/>
      </c>
      <c r="P262" s="57">
        <f>C262-G262</f>
        <v/>
      </c>
      <c r="Q262" s="57">
        <f>E262-C262</f>
        <v/>
      </c>
      <c r="R262" s="57">
        <f>C262-M262</f>
        <v/>
      </c>
      <c r="S262" s="55">
        <f>C262-O262</f>
        <v/>
      </c>
      <c r="T262" s="57">
        <f>E262-O262</f>
        <v/>
      </c>
      <c r="U262" s="57">
        <f>G262-O262</f>
        <v/>
      </c>
      <c r="V262" s="57">
        <f>G262-K262</f>
        <v/>
      </c>
      <c r="W262" s="57">
        <f>C262-K262</f>
        <v/>
      </c>
      <c r="X262" s="67">
        <f>I262-G262</f>
        <v/>
      </c>
      <c r="Y262" s="75">
        <f>G262-M262</f>
        <v/>
      </c>
    </row>
    <row r="263">
      <c r="A263" s="52" t="n">
        <v>44103</v>
      </c>
      <c r="B263" s="53" t="n">
        <v>46</v>
      </c>
      <c r="C263" s="54">
        <f>myParidad('Flujo de Fondos'!$B$5,A263,B263,'Flujo de Fondos'!$B$7,'Flujo de Fondos'!$B$6)</f>
        <v/>
      </c>
      <c r="D263" s="53" t="n">
        <v>47.5</v>
      </c>
      <c r="E263" s="55">
        <f>myParidad('Flujo de Fondos'!$H$5,$A263,D263,'Flujo de Fondos'!$H$7,'Flujo de Fondos'!$H$6)</f>
        <v/>
      </c>
      <c r="F263" s="53" t="n">
        <v>44.67</v>
      </c>
      <c r="G263" s="54">
        <f>myParidad('Flujo de Fondos'!$N$5,$A263,F263,'Flujo de Fondos'!$N$7,'Flujo de Fondos'!$N$6)</f>
        <v/>
      </c>
      <c r="H263" s="53" t="n">
        <v>44.47</v>
      </c>
      <c r="I263" s="54">
        <f>myParidad('Flujo de Fondos'!$T$5,$A263,H263,'Flujo de Fondos'!$T$7,'Flujo de Fondos'!$T$6)</f>
        <v/>
      </c>
      <c r="J263" s="53" t="n">
        <v>39.9</v>
      </c>
      <c r="K263" s="54">
        <f>myParidad('Flujo de Fondos'!$B$34,$A263,J263,'Flujo de Fondos'!$B$36,'Flujo de Fondos'!$B$35)</f>
        <v/>
      </c>
      <c r="L263" s="53" t="n">
        <v>41.8</v>
      </c>
      <c r="M263" s="54">
        <f>myParidad('Flujo de Fondos'!$H$34,'Paridad usd'!$A263,'Paridad usd'!L263,'Flujo de Fondos'!$H$36,'Flujo de Fondos'!$H$35)</f>
        <v/>
      </c>
      <c r="N263" s="56" t="n">
        <v>39.04</v>
      </c>
      <c r="O263" s="54">
        <f>myParidad('Flujo de Fondos'!$N$34,'Paridad usd'!$A263,'Paridad usd'!N263,'Flujo de Fondos'!$N$36,'Flujo de Fondos'!$N$35)</f>
        <v/>
      </c>
      <c r="P263" s="57">
        <f>C263-G263</f>
        <v/>
      </c>
      <c r="Q263" s="57">
        <f>E263-C263</f>
        <v/>
      </c>
      <c r="R263" s="57">
        <f>C263-M263</f>
        <v/>
      </c>
      <c r="S263" s="55">
        <f>C263-O263</f>
        <v/>
      </c>
      <c r="T263" s="57">
        <f>E263-O263</f>
        <v/>
      </c>
      <c r="U263" s="57">
        <f>G263-O263</f>
        <v/>
      </c>
      <c r="V263" s="57">
        <f>G263-K263</f>
        <v/>
      </c>
      <c r="W263" s="57">
        <f>C263-K263</f>
        <v/>
      </c>
      <c r="X263" s="67">
        <f>I263-G263</f>
        <v/>
      </c>
      <c r="Y263" s="75">
        <f>G263-M263</f>
        <v/>
      </c>
    </row>
    <row r="264">
      <c r="A264" s="52" t="n">
        <v>44102</v>
      </c>
      <c r="B264" s="53" t="n">
        <v>46.29</v>
      </c>
      <c r="C264" s="54">
        <f>myParidad('Flujo de Fondos'!$B$5,A264,B264,'Flujo de Fondos'!$B$7,'Flujo de Fondos'!$B$6)</f>
        <v/>
      </c>
      <c r="D264" s="53" t="n">
        <v>48.3</v>
      </c>
      <c r="E264" s="55">
        <f>myParidad('Flujo de Fondos'!$H$5,$A264,D264,'Flujo de Fondos'!$H$7,'Flujo de Fondos'!$H$6)</f>
        <v/>
      </c>
      <c r="F264" s="53" t="n">
        <v>44.9</v>
      </c>
      <c r="G264" s="54">
        <f>myParidad('Flujo de Fondos'!$N$5,$A264,F264,'Flujo de Fondos'!$N$7,'Flujo de Fondos'!$N$6)</f>
        <v/>
      </c>
      <c r="H264" s="53" t="n">
        <v>44.85</v>
      </c>
      <c r="I264" s="54">
        <f>myParidad('Flujo de Fondos'!$T$5,$A264,H264,'Flujo de Fondos'!$T$7,'Flujo de Fondos'!$T$6)</f>
        <v/>
      </c>
      <c r="J264" s="53" t="n">
        <v>41</v>
      </c>
      <c r="K264" s="54">
        <f>myParidad('Flujo de Fondos'!$B$34,$A264,J264,'Flujo de Fondos'!$B$36,'Flujo de Fondos'!$B$35)</f>
        <v/>
      </c>
      <c r="L264" s="53" t="n">
        <v>42.43</v>
      </c>
      <c r="M264" s="54">
        <f>myParidad('Flujo de Fondos'!$H$34,'Paridad usd'!$A264,'Paridad usd'!L264,'Flujo de Fondos'!$H$36,'Flujo de Fondos'!$H$35)</f>
        <v/>
      </c>
      <c r="N264" s="56" t="n">
        <v>39.5</v>
      </c>
      <c r="O264" s="54">
        <f>myParidad('Flujo de Fondos'!$N$34,'Paridad usd'!$A264,'Paridad usd'!N264,'Flujo de Fondos'!$N$36,'Flujo de Fondos'!$N$35)</f>
        <v/>
      </c>
      <c r="P264" s="57">
        <f>C264-G264</f>
        <v/>
      </c>
      <c r="Q264" s="57">
        <f>E264-C264</f>
        <v/>
      </c>
      <c r="R264" s="57">
        <f>C264-M264</f>
        <v/>
      </c>
      <c r="S264" s="55">
        <f>C264-O264</f>
        <v/>
      </c>
      <c r="T264" s="57">
        <f>E264-O264</f>
        <v/>
      </c>
      <c r="U264" s="57">
        <f>G264-O264</f>
        <v/>
      </c>
      <c r="V264" s="57">
        <f>G264-K264</f>
        <v/>
      </c>
      <c r="W264" s="57">
        <f>C264-K264</f>
        <v/>
      </c>
      <c r="X264" s="67">
        <f>I264-G264</f>
        <v/>
      </c>
      <c r="Y264" s="75">
        <f>G264-M264</f>
        <v/>
      </c>
    </row>
    <row r="265">
      <c r="A265" s="52" t="n">
        <v>44099</v>
      </c>
      <c r="B265" s="53" t="n">
        <v>46.44</v>
      </c>
      <c r="C265" s="54">
        <f>myParidad('Flujo de Fondos'!$B$5,A265,B265,'Flujo de Fondos'!$B$7,'Flujo de Fondos'!$B$6)</f>
        <v/>
      </c>
      <c r="D265" s="53" t="n">
        <v>48</v>
      </c>
      <c r="E265" s="55">
        <f>myParidad('Flujo de Fondos'!$H$5,$A265,D265,'Flujo de Fondos'!$H$7,'Flujo de Fondos'!$H$6)</f>
        <v/>
      </c>
      <c r="F265" s="53" t="n">
        <v>45.2</v>
      </c>
      <c r="G265" s="54">
        <f>myParidad('Flujo de Fondos'!$N$5,$A265,F265,'Flujo de Fondos'!$N$7,'Flujo de Fondos'!$N$6)</f>
        <v/>
      </c>
      <c r="H265" s="53" t="n">
        <v>45.29</v>
      </c>
      <c r="I265" s="54">
        <f>myParidad('Flujo de Fondos'!$T$5,$A265,H265,'Flujo de Fondos'!$T$7,'Flujo de Fondos'!$T$6)</f>
        <v/>
      </c>
      <c r="J265" s="53" t="n">
        <v>41.5</v>
      </c>
      <c r="K265" s="54">
        <f>myParidad('Flujo de Fondos'!$B$34,$A265,J265,'Flujo de Fondos'!$B$36,'Flujo de Fondos'!$B$35)</f>
        <v/>
      </c>
      <c r="L265" s="53" t="n">
        <v>42.89</v>
      </c>
      <c r="M265" s="54">
        <f>myParidad('Flujo de Fondos'!$H$34,'Paridad usd'!$A265,'Paridad usd'!L265,'Flujo de Fondos'!$H$36,'Flujo de Fondos'!$H$35)</f>
        <v/>
      </c>
      <c r="N265" s="56" t="n">
        <v>40</v>
      </c>
      <c r="O265" s="54">
        <f>myParidad('Flujo de Fondos'!$N$34,'Paridad usd'!$A265,'Paridad usd'!N265,'Flujo de Fondos'!$N$36,'Flujo de Fondos'!$N$35)</f>
        <v/>
      </c>
      <c r="P265" s="57">
        <f>C265-G265</f>
        <v/>
      </c>
      <c r="Q265" s="57">
        <f>E265-C265</f>
        <v/>
      </c>
      <c r="R265" s="57">
        <f>C265-M265</f>
        <v/>
      </c>
      <c r="S265" s="55">
        <f>C265-O265</f>
        <v/>
      </c>
      <c r="T265" s="57">
        <f>E265-O265</f>
        <v/>
      </c>
      <c r="U265" s="57">
        <f>G265-O265</f>
        <v/>
      </c>
      <c r="V265" s="57">
        <f>G265-K265</f>
        <v/>
      </c>
      <c r="W265" s="57">
        <f>C265-K265</f>
        <v/>
      </c>
      <c r="X265" s="67">
        <f>I265-G265</f>
        <v/>
      </c>
      <c r="Y265" s="75">
        <f>G265-M265</f>
        <v/>
      </c>
    </row>
    <row r="266">
      <c r="A266" s="52" t="n">
        <v>44098</v>
      </c>
      <c r="B266" s="53" t="n">
        <v>47.57</v>
      </c>
      <c r="C266" s="54">
        <f>myParidad('Flujo de Fondos'!$B$5,A266,B266,'Flujo de Fondos'!$B$7,'Flujo de Fondos'!$B$6)</f>
        <v/>
      </c>
      <c r="D266" s="53" t="n">
        <v>47.8</v>
      </c>
      <c r="E266" s="55">
        <f>myParidad('Flujo de Fondos'!$H$5,$A266,D266,'Flujo de Fondos'!$H$7,'Flujo de Fondos'!$H$6)</f>
        <v/>
      </c>
      <c r="F266" s="53" t="n">
        <v>46</v>
      </c>
      <c r="G266" s="54">
        <f>myParidad('Flujo de Fondos'!$N$5,$A266,F266,'Flujo de Fondos'!$N$7,'Flujo de Fondos'!$N$6)</f>
        <v/>
      </c>
      <c r="H266" s="53" t="n">
        <v>45.7</v>
      </c>
      <c r="I266" s="54">
        <f>myParidad('Flujo de Fondos'!$T$5,$A266,H266,'Flujo de Fondos'!$T$7,'Flujo de Fondos'!$T$6)</f>
        <v/>
      </c>
      <c r="J266" s="53" t="n">
        <v>41.9</v>
      </c>
      <c r="K266" s="54">
        <f>myParidad('Flujo de Fondos'!$B$34,$A266,J266,'Flujo de Fondos'!$B$36,'Flujo de Fondos'!$B$35)</f>
        <v/>
      </c>
      <c r="L266" s="53" t="n">
        <v>43.4</v>
      </c>
      <c r="M266" s="54">
        <f>myParidad('Flujo de Fondos'!$H$34,'Paridad usd'!$A266,'Paridad usd'!L266,'Flujo de Fondos'!$H$36,'Flujo de Fondos'!$H$35)</f>
        <v/>
      </c>
      <c r="N266" s="56" t="n">
        <v>39.45</v>
      </c>
      <c r="O266" s="54">
        <f>myParidad('Flujo de Fondos'!$N$34,'Paridad usd'!$A266,'Paridad usd'!N266,'Flujo de Fondos'!$N$36,'Flujo de Fondos'!$N$35)</f>
        <v/>
      </c>
      <c r="P266" s="57">
        <f>C266-G266</f>
        <v/>
      </c>
      <c r="Q266" s="57">
        <f>E266-C266</f>
        <v/>
      </c>
      <c r="R266" s="57">
        <f>C266-M266</f>
        <v/>
      </c>
      <c r="S266" s="55">
        <f>C266-O266</f>
        <v/>
      </c>
      <c r="T266" s="57">
        <f>E266-O266</f>
        <v/>
      </c>
      <c r="U266" s="57">
        <f>G266-O266</f>
        <v/>
      </c>
      <c r="V266" s="57">
        <f>G266-K266</f>
        <v/>
      </c>
      <c r="W266" s="57">
        <f>C266-K266</f>
        <v/>
      </c>
      <c r="X266" s="67">
        <f>I266-G266</f>
        <v/>
      </c>
      <c r="Y266" s="75">
        <f>G266-M266</f>
        <v/>
      </c>
    </row>
    <row r="267">
      <c r="A267" s="52" t="n">
        <v>44097</v>
      </c>
      <c r="B267" s="53" t="n">
        <v>47.6</v>
      </c>
      <c r="C267" s="54">
        <f>myParidad('Flujo de Fondos'!$B$5,A267,B267,'Flujo de Fondos'!$B$7,'Flujo de Fondos'!$B$6)</f>
        <v/>
      </c>
      <c r="D267" s="53" t="n">
        <v>47.1</v>
      </c>
      <c r="E267" s="55">
        <f>myParidad('Flujo de Fondos'!$H$5,$A267,D267,'Flujo de Fondos'!$H$7,'Flujo de Fondos'!$H$6)</f>
        <v/>
      </c>
      <c r="F267" s="53" t="n">
        <v>46.55</v>
      </c>
      <c r="G267" s="54">
        <f>myParidad('Flujo de Fondos'!$N$5,$A267,F267,'Flujo de Fondos'!$N$7,'Flujo de Fondos'!$N$6)</f>
        <v/>
      </c>
      <c r="H267" s="53" t="n">
        <v>46.3</v>
      </c>
      <c r="I267" s="54">
        <f>myParidad('Flujo de Fondos'!$T$5,$A267,H267,'Flujo de Fondos'!$T$7,'Flujo de Fondos'!$T$6)</f>
        <v/>
      </c>
      <c r="J267" s="53" t="n">
        <v>39.75</v>
      </c>
      <c r="K267" s="54">
        <f>myParidad('Flujo de Fondos'!$B$34,$A267,J267,'Flujo de Fondos'!$B$36,'Flujo de Fondos'!$B$35)</f>
        <v/>
      </c>
      <c r="L267" s="53" t="n">
        <v>43</v>
      </c>
      <c r="M267" s="54">
        <f>myParidad('Flujo de Fondos'!$H$34,'Paridad usd'!$A267,'Paridad usd'!L267,'Flujo de Fondos'!$H$36,'Flujo de Fondos'!$H$35)</f>
        <v/>
      </c>
      <c r="N267" s="56" t="n">
        <v>38.55</v>
      </c>
      <c r="O267" s="54">
        <f>myParidad('Flujo de Fondos'!$N$34,'Paridad usd'!$A267,'Paridad usd'!N267,'Flujo de Fondos'!$N$36,'Flujo de Fondos'!$N$35)</f>
        <v/>
      </c>
      <c r="P267" s="57">
        <f>C267-G267</f>
        <v/>
      </c>
      <c r="Q267" s="57">
        <f>E267-C267</f>
        <v/>
      </c>
      <c r="R267" s="57">
        <f>C267-M267</f>
        <v/>
      </c>
      <c r="S267" s="55">
        <f>C267-O267</f>
        <v/>
      </c>
      <c r="T267" s="57">
        <f>E267-O267</f>
        <v/>
      </c>
      <c r="U267" s="57">
        <f>G267-O267</f>
        <v/>
      </c>
      <c r="V267" s="57">
        <f>G267-K267</f>
        <v/>
      </c>
      <c r="W267" s="57">
        <f>C267-K267</f>
        <v/>
      </c>
      <c r="X267" s="67">
        <f>I267-G267</f>
        <v/>
      </c>
      <c r="Y267" s="75">
        <f>G267-M267</f>
        <v/>
      </c>
    </row>
    <row r="268">
      <c r="A268" s="52" t="n">
        <v>44096</v>
      </c>
      <c r="B268" s="53" t="n">
        <v>46.5</v>
      </c>
      <c r="C268" s="54">
        <f>myParidad('Flujo de Fondos'!$B$5,A268,B268,'Flujo de Fondos'!$B$7,'Flujo de Fondos'!$B$6)</f>
        <v/>
      </c>
      <c r="D268" s="53" t="n">
        <v>47</v>
      </c>
      <c r="E268" s="55">
        <f>myParidad('Flujo de Fondos'!$H$5,$A268,D268,'Flujo de Fondos'!$H$7,'Flujo de Fondos'!$H$6)</f>
        <v/>
      </c>
      <c r="F268" s="53" t="n">
        <v>45.39</v>
      </c>
      <c r="G268" s="54">
        <f>myParidad('Flujo de Fondos'!$N$5,$A268,F268,'Flujo de Fondos'!$N$7,'Flujo de Fondos'!$N$6)</f>
        <v/>
      </c>
      <c r="H268" s="53" t="n">
        <v>45.33</v>
      </c>
      <c r="I268" s="54">
        <f>myParidad('Flujo de Fondos'!$T$5,$A268,H268,'Flujo de Fondos'!$T$7,'Flujo de Fondos'!$T$6)</f>
        <v/>
      </c>
      <c r="J268" s="53" t="n">
        <v>38.5</v>
      </c>
      <c r="K268" s="54">
        <f>myParidad('Flujo de Fondos'!$B$34,$A268,J268,'Flujo de Fondos'!$B$36,'Flujo de Fondos'!$B$35)</f>
        <v/>
      </c>
      <c r="L268" s="53" t="n">
        <v>42.65</v>
      </c>
      <c r="M268" s="54">
        <f>myParidad('Flujo de Fondos'!$H$34,'Paridad usd'!$A268,'Paridad usd'!L268,'Flujo de Fondos'!$H$36,'Flujo de Fondos'!$H$35)</f>
        <v/>
      </c>
      <c r="N268" s="56" t="n">
        <v>37.75</v>
      </c>
      <c r="O268" s="54">
        <f>myParidad('Flujo de Fondos'!$N$34,'Paridad usd'!$A268,'Paridad usd'!N268,'Flujo de Fondos'!$N$36,'Flujo de Fondos'!$N$35)</f>
        <v/>
      </c>
      <c r="P268" s="57">
        <f>C268-G268</f>
        <v/>
      </c>
      <c r="Q268" s="57">
        <f>E268-C268</f>
        <v/>
      </c>
      <c r="R268" s="57">
        <f>C268-M268</f>
        <v/>
      </c>
      <c r="S268" s="55">
        <f>C268-O268</f>
        <v/>
      </c>
      <c r="T268" s="57">
        <f>E268-O268</f>
        <v/>
      </c>
      <c r="U268" s="57">
        <f>G268-O268</f>
        <v/>
      </c>
      <c r="V268" s="57">
        <f>G268-K268</f>
        <v/>
      </c>
      <c r="W268" s="57">
        <f>C268-K268</f>
        <v/>
      </c>
      <c r="X268" s="67">
        <f>I268-G268</f>
        <v/>
      </c>
      <c r="Y268" s="75">
        <f>G268-M268</f>
        <v/>
      </c>
    </row>
    <row r="269">
      <c r="A269" s="52" t="n">
        <v>44095</v>
      </c>
      <c r="B269" s="53" t="n">
        <v>47.4</v>
      </c>
      <c r="C269" s="54">
        <f>myParidad('Flujo de Fondos'!$B$5,A269,B269,'Flujo de Fondos'!$B$7,'Flujo de Fondos'!$B$6)</f>
        <v/>
      </c>
      <c r="D269" s="53" t="n">
        <v>47</v>
      </c>
      <c r="E269" s="55">
        <f>myParidad('Flujo de Fondos'!$H$5,$A269,D269,'Flujo de Fondos'!$H$7,'Flujo de Fondos'!$H$6)</f>
        <v/>
      </c>
      <c r="F269" s="53" t="n">
        <v>46.12</v>
      </c>
      <c r="G269" s="54">
        <f>myParidad('Flujo de Fondos'!$N$5,$A269,F269,'Flujo de Fondos'!$N$7,'Flujo de Fondos'!$N$6)</f>
        <v/>
      </c>
      <c r="H269" s="53" t="n">
        <v>45.75</v>
      </c>
      <c r="I269" s="54">
        <f>myParidad('Flujo de Fondos'!$T$5,$A269,H269,'Flujo de Fondos'!$T$7,'Flujo de Fondos'!$T$6)</f>
        <v/>
      </c>
      <c r="J269" s="53" t="n">
        <v>40.24</v>
      </c>
      <c r="K269" s="54">
        <f>myParidad('Flujo de Fondos'!$B$34,$A269,J269,'Flujo de Fondos'!$B$36,'Flujo de Fondos'!$B$35)</f>
        <v/>
      </c>
      <c r="L269" s="53" t="n">
        <v>43.35</v>
      </c>
      <c r="M269" s="54">
        <f>myParidad('Flujo de Fondos'!$H$34,'Paridad usd'!$A269,'Paridad usd'!L269,'Flujo de Fondos'!$H$36,'Flujo de Fondos'!$H$35)</f>
        <v/>
      </c>
      <c r="N269" s="56" t="n">
        <v>38.6</v>
      </c>
      <c r="O269" s="54">
        <f>myParidad('Flujo de Fondos'!$N$34,'Paridad usd'!$A269,'Paridad usd'!N269,'Flujo de Fondos'!$N$36,'Flujo de Fondos'!$N$35)</f>
        <v/>
      </c>
      <c r="P269" s="57">
        <f>C269-G269</f>
        <v/>
      </c>
      <c r="Q269" s="57">
        <f>E269-C269</f>
        <v/>
      </c>
      <c r="R269" s="57">
        <f>C269-M269</f>
        <v/>
      </c>
      <c r="S269" s="55">
        <f>C269-O269</f>
        <v/>
      </c>
      <c r="T269" s="57">
        <f>E269-O269</f>
        <v/>
      </c>
      <c r="U269" s="57">
        <f>G269-O269</f>
        <v/>
      </c>
      <c r="V269" s="57">
        <f>G269-K269</f>
        <v/>
      </c>
      <c r="W269" s="57">
        <f>C269-K269</f>
        <v/>
      </c>
      <c r="X269" s="67">
        <f>I269-G269</f>
        <v/>
      </c>
      <c r="Y269" s="75">
        <f>G269-M269</f>
        <v/>
      </c>
    </row>
    <row r="270">
      <c r="A270" s="52" t="n">
        <v>44092</v>
      </c>
      <c r="B270" s="53" t="n">
        <v>48.35</v>
      </c>
      <c r="C270" s="54">
        <f>myParidad('Flujo de Fondos'!$B$5,A270,B270,'Flujo de Fondos'!$B$7,'Flujo de Fondos'!$B$6)</f>
        <v/>
      </c>
      <c r="D270" s="53" t="n">
        <v>48.45</v>
      </c>
      <c r="E270" s="55">
        <f>myParidad('Flujo de Fondos'!$H$5,$A270,D270,'Flujo de Fondos'!$H$7,'Flujo de Fondos'!$H$6)</f>
        <v/>
      </c>
      <c r="F270" s="53" t="n">
        <v>47.1</v>
      </c>
      <c r="G270" s="54">
        <f>myParidad('Flujo de Fondos'!$N$5,$A270,F270,'Flujo de Fondos'!$N$7,'Flujo de Fondos'!$N$6)</f>
        <v/>
      </c>
      <c r="H270" s="53" t="n">
        <v>46.89</v>
      </c>
      <c r="I270" s="54">
        <f>myParidad('Flujo de Fondos'!$T$5,$A270,H270,'Flujo de Fondos'!$T$7,'Flujo de Fondos'!$T$6)</f>
        <v/>
      </c>
      <c r="J270" s="53" t="n">
        <v>41.6</v>
      </c>
      <c r="K270" s="54">
        <f>myParidad('Flujo de Fondos'!$B$34,$A270,J270,'Flujo de Fondos'!$B$36,'Flujo de Fondos'!$B$35)</f>
        <v/>
      </c>
      <c r="L270" s="53" t="n">
        <v>44.25</v>
      </c>
      <c r="M270" s="54">
        <f>myParidad('Flujo de Fondos'!$H$34,'Paridad usd'!$A270,'Paridad usd'!L270,'Flujo de Fondos'!$H$36,'Flujo de Fondos'!$H$35)</f>
        <v/>
      </c>
      <c r="N270" s="56" t="n">
        <v>40</v>
      </c>
      <c r="O270" s="54">
        <f>myParidad('Flujo de Fondos'!$N$34,'Paridad usd'!$A270,'Paridad usd'!N270,'Flujo de Fondos'!$N$36,'Flujo de Fondos'!$N$35)</f>
        <v/>
      </c>
      <c r="P270" s="57">
        <f>C270-G270</f>
        <v/>
      </c>
      <c r="Q270" s="57">
        <f>E270-C270</f>
        <v/>
      </c>
      <c r="R270" s="57">
        <f>C270-M270</f>
        <v/>
      </c>
      <c r="S270" s="55">
        <f>C270-O270</f>
        <v/>
      </c>
      <c r="T270" s="57">
        <f>E270-O270</f>
        <v/>
      </c>
      <c r="U270" s="57">
        <f>G270-O270</f>
        <v/>
      </c>
      <c r="V270" s="57">
        <f>G270-K270</f>
        <v/>
      </c>
      <c r="W270" s="57">
        <f>C270-K270</f>
        <v/>
      </c>
      <c r="X270" s="67">
        <f>I270-G270</f>
        <v/>
      </c>
      <c r="Y270" s="75">
        <f>G270-M270</f>
        <v/>
      </c>
    </row>
    <row r="271">
      <c r="A271" s="52" t="n">
        <v>44091</v>
      </c>
      <c r="B271" s="53" t="n">
        <v>48.51</v>
      </c>
      <c r="C271" s="54">
        <f>myParidad('Flujo de Fondos'!$B$5,A271,B271,'Flujo de Fondos'!$B$7,'Flujo de Fondos'!$B$6)</f>
        <v/>
      </c>
      <c r="D271" s="53" t="n">
        <v>48.01</v>
      </c>
      <c r="E271" s="55">
        <f>myParidad('Flujo de Fondos'!$H$5,$A271,D271,'Flujo de Fondos'!$H$7,'Flujo de Fondos'!$H$6)</f>
        <v/>
      </c>
      <c r="F271" s="53" t="n">
        <v>46.9</v>
      </c>
      <c r="G271" s="54">
        <f>myParidad('Flujo de Fondos'!$N$5,$A271,F271,'Flujo de Fondos'!$N$7,'Flujo de Fondos'!$N$6)</f>
        <v/>
      </c>
      <c r="H271" s="53" t="n">
        <v>46.25</v>
      </c>
      <c r="I271" s="54">
        <f>myParidad('Flujo de Fondos'!$T$5,$A271,H271,'Flujo de Fondos'!$T$7,'Flujo de Fondos'!$T$6)</f>
        <v/>
      </c>
      <c r="J271" s="53" t="n">
        <v>41.75</v>
      </c>
      <c r="K271" s="54">
        <f>myParidad('Flujo de Fondos'!$B$34,$A271,J271,'Flujo de Fondos'!$B$36,'Flujo de Fondos'!$B$35)</f>
        <v/>
      </c>
      <c r="L271" s="53" t="n">
        <v>44.25</v>
      </c>
      <c r="M271" s="54">
        <f>myParidad('Flujo de Fondos'!$H$34,'Paridad usd'!$A271,'Paridad usd'!L271,'Flujo de Fondos'!$H$36,'Flujo de Fondos'!$H$35)</f>
        <v/>
      </c>
      <c r="N271" s="56" t="n">
        <v>40</v>
      </c>
      <c r="O271" s="54">
        <f>myParidad('Flujo de Fondos'!$N$34,'Paridad usd'!$A271,'Paridad usd'!N271,'Flujo de Fondos'!$N$36,'Flujo de Fondos'!$N$35)</f>
        <v/>
      </c>
      <c r="P271" s="57">
        <f>C271-G271</f>
        <v/>
      </c>
      <c r="Q271" s="57">
        <f>E271-C271</f>
        <v/>
      </c>
      <c r="R271" s="57">
        <f>C271-M271</f>
        <v/>
      </c>
      <c r="S271" s="55">
        <f>C271-O271</f>
        <v/>
      </c>
      <c r="T271" s="57">
        <f>E271-O271</f>
        <v/>
      </c>
      <c r="U271" s="57">
        <f>G271-O271</f>
        <v/>
      </c>
      <c r="V271" s="57">
        <f>G271-K271</f>
        <v/>
      </c>
      <c r="W271" s="57">
        <f>C271-K271</f>
        <v/>
      </c>
      <c r="X271" s="67">
        <f>I271-G271</f>
        <v/>
      </c>
      <c r="Y271" s="75">
        <f>G271-M271</f>
        <v/>
      </c>
    </row>
    <row r="272">
      <c r="A272" s="52" t="n">
        <v>44090</v>
      </c>
      <c r="B272" s="53" t="n">
        <v>48.85</v>
      </c>
      <c r="C272" s="54">
        <f>myParidad('Flujo de Fondos'!$B$5,A272,B272,'Flujo de Fondos'!$B$7,'Flujo de Fondos'!$B$6)</f>
        <v/>
      </c>
      <c r="D272" s="53" t="n">
        <v>51</v>
      </c>
      <c r="E272" s="55">
        <f>myParidad('Flujo de Fondos'!$H$5,$A272,D272,'Flujo de Fondos'!$H$7,'Flujo de Fondos'!$H$6)</f>
        <v/>
      </c>
      <c r="F272" s="53" t="n">
        <v>47.96</v>
      </c>
      <c r="G272" s="54">
        <f>myParidad('Flujo de Fondos'!$N$5,$A272,F272,'Flujo de Fondos'!$N$7,'Flujo de Fondos'!$N$6)</f>
        <v/>
      </c>
      <c r="H272" s="53" t="n">
        <v>48.1</v>
      </c>
      <c r="I272" s="54">
        <f>myParidad('Flujo de Fondos'!$T$5,$A272,H272,'Flujo de Fondos'!$T$7,'Flujo de Fondos'!$T$6)</f>
        <v/>
      </c>
      <c r="J272" s="53" t="n">
        <v>41.9</v>
      </c>
      <c r="K272" s="54">
        <f>myParidad('Flujo de Fondos'!$B$34,$A272,J272,'Flujo de Fondos'!$B$36,'Flujo de Fondos'!$B$35)</f>
        <v/>
      </c>
      <c r="L272" s="53" t="n">
        <v>45.15</v>
      </c>
      <c r="M272" s="54">
        <f>myParidad('Flujo de Fondos'!$H$34,'Paridad usd'!$A272,'Paridad usd'!L272,'Flujo de Fondos'!$H$36,'Flujo de Fondos'!$H$35)</f>
        <v/>
      </c>
      <c r="N272" s="56" t="n">
        <v>41</v>
      </c>
      <c r="O272" s="54">
        <f>myParidad('Flujo de Fondos'!$N$34,'Paridad usd'!$A272,'Paridad usd'!N272,'Flujo de Fondos'!$N$36,'Flujo de Fondos'!$N$35)</f>
        <v/>
      </c>
      <c r="P272" s="57">
        <f>C272-G272</f>
        <v/>
      </c>
      <c r="Q272" s="57">
        <f>E272-C272</f>
        <v/>
      </c>
      <c r="R272" s="57">
        <f>C272-M272</f>
        <v/>
      </c>
      <c r="S272" s="55">
        <f>C272-O272</f>
        <v/>
      </c>
      <c r="T272" s="57">
        <f>E272-O272</f>
        <v/>
      </c>
      <c r="U272" s="57">
        <f>G272-O272</f>
        <v/>
      </c>
      <c r="V272" s="57">
        <f>G272-K272</f>
        <v/>
      </c>
      <c r="W272" s="57">
        <f>C272-K272</f>
        <v/>
      </c>
      <c r="X272" s="67">
        <f>I272-G272</f>
        <v/>
      </c>
      <c r="Y272" s="75">
        <f>G272-M272</f>
        <v/>
      </c>
    </row>
    <row r="273">
      <c r="A273" s="52" t="n">
        <v>44089</v>
      </c>
      <c r="B273" s="53" t="n">
        <v>51.4</v>
      </c>
      <c r="C273" s="54">
        <f>myParidad('Flujo de Fondos'!$B$5,A273,B273,'Flujo de Fondos'!$B$7,'Flujo de Fondos'!$B$6)</f>
        <v/>
      </c>
      <c r="D273" s="53" t="n">
        <v>53.75</v>
      </c>
      <c r="E273" s="55">
        <f>myParidad('Flujo de Fondos'!$H$5,$A273,D273,'Flujo de Fondos'!$H$7,'Flujo de Fondos'!$H$6)</f>
        <v/>
      </c>
      <c r="F273" s="53" t="n">
        <v>51.08</v>
      </c>
      <c r="G273" s="54">
        <f>myParidad('Flujo de Fondos'!$N$5,$A273,F273,'Flujo de Fondos'!$N$7,'Flujo de Fondos'!$N$6)</f>
        <v/>
      </c>
      <c r="H273" s="53" t="n">
        <v>50</v>
      </c>
      <c r="I273" s="54">
        <f>myParidad('Flujo de Fondos'!$T$5,$A273,H273,'Flujo de Fondos'!$T$7,'Flujo de Fondos'!$T$6)</f>
        <v/>
      </c>
      <c r="J273" s="53" t="n">
        <v>44.55</v>
      </c>
      <c r="K273" s="54">
        <f>myParidad('Flujo de Fondos'!$B$34,$A273,J273,'Flujo de Fondos'!$B$36,'Flujo de Fondos'!$B$35)</f>
        <v/>
      </c>
      <c r="L273" s="53" t="n">
        <v>48.35</v>
      </c>
      <c r="M273" s="54">
        <f>myParidad('Flujo de Fondos'!$H$34,'Paridad usd'!$A273,'Paridad usd'!L273,'Flujo de Fondos'!$H$36,'Flujo de Fondos'!$H$35)</f>
        <v/>
      </c>
      <c r="N273" s="56" t="n">
        <v>43.1</v>
      </c>
      <c r="O273" s="54">
        <f>myParidad('Flujo de Fondos'!$N$34,'Paridad usd'!$A273,'Paridad usd'!N273,'Flujo de Fondos'!$N$36,'Flujo de Fondos'!$N$35)</f>
        <v/>
      </c>
      <c r="P273" s="57">
        <f>C273-G273</f>
        <v/>
      </c>
      <c r="Q273" s="57">
        <f>E273-C273</f>
        <v/>
      </c>
      <c r="R273" s="57">
        <f>C273-M273</f>
        <v/>
      </c>
      <c r="S273" s="55">
        <f>C273-O273</f>
        <v/>
      </c>
      <c r="T273" s="57">
        <f>E273-O273</f>
        <v/>
      </c>
      <c r="U273" s="57">
        <f>G273-O273</f>
        <v/>
      </c>
      <c r="V273" s="57">
        <f>G273-K273</f>
        <v/>
      </c>
      <c r="W273" s="57">
        <f>C273-K273</f>
        <v/>
      </c>
      <c r="X273" s="67">
        <f>I273-G273</f>
        <v/>
      </c>
      <c r="Y273" s="75">
        <f>G273-M273</f>
        <v/>
      </c>
    </row>
    <row r="274">
      <c r="A274" s="59" t="n">
        <v>44088</v>
      </c>
      <c r="B274" s="60" t="n">
        <v>51.8</v>
      </c>
      <c r="C274" s="61">
        <f>myParidad('Flujo de Fondos'!$B$5,A274,B274,'Flujo de Fondos'!$B$7,'Flujo de Fondos'!$B$6)</f>
        <v/>
      </c>
      <c r="D274" s="60" t="n">
        <v>53.75</v>
      </c>
      <c r="E274" s="62">
        <f>myParidad('Flujo de Fondos'!$H$5,$A274,D274,'Flujo de Fondos'!$H$7,'Flujo de Fondos'!$H$6)</f>
        <v/>
      </c>
      <c r="F274" s="60" t="n">
        <v>51.87</v>
      </c>
      <c r="G274" s="61">
        <f>myParidad('Flujo de Fondos'!$N$5,$A274,F274,'Flujo de Fondos'!$N$7,'Flujo de Fondos'!$N$6)</f>
        <v/>
      </c>
      <c r="H274" s="53" t="n">
        <v>50</v>
      </c>
      <c r="I274" s="54">
        <f>myParidad('Flujo de Fondos'!$T$5,$A274,H274,'Flujo de Fondos'!$T$7,'Flujo de Fondos'!$T$6)</f>
        <v/>
      </c>
      <c r="J274" s="60" t="n">
        <v>44.54</v>
      </c>
      <c r="K274" s="54">
        <f>myParidad('Flujo de Fondos'!$B$34,$A274,J274,'Flujo de Fondos'!$B$36,'Flujo de Fondos'!$B$35)</f>
        <v/>
      </c>
      <c r="L274" s="60" t="n">
        <v>49.2</v>
      </c>
      <c r="M274" s="61">
        <f>myParidad('Flujo de Fondos'!$H$34,'Paridad usd'!$A274,'Paridad usd'!L274,'Flujo de Fondos'!$H$36,'Flujo de Fondos'!$H$35)</f>
        <v/>
      </c>
      <c r="N274" s="63" t="n">
        <v>43.99</v>
      </c>
      <c r="O274" s="61">
        <f>myParidad('Flujo de Fondos'!$N$34,'Paridad usd'!$A274,'Paridad usd'!N274,'Flujo de Fondos'!$N$36,'Flujo de Fondos'!$N$35)</f>
        <v/>
      </c>
      <c r="P274" s="64">
        <f>C274-G274</f>
        <v/>
      </c>
      <c r="Q274" s="64">
        <f>E274-C274</f>
        <v/>
      </c>
      <c r="R274" s="64">
        <f>C274-M274</f>
        <v/>
      </c>
      <c r="S274" s="62">
        <f>C274-O274</f>
        <v/>
      </c>
      <c r="T274" s="62">
        <f>E274-O274</f>
        <v/>
      </c>
      <c r="U274" s="62">
        <f>G274-O274</f>
        <v/>
      </c>
      <c r="V274" s="62">
        <f>G274-K274</f>
        <v/>
      </c>
      <c r="W274" s="62">
        <f>C274-K274</f>
        <v/>
      </c>
      <c r="X274" s="62">
        <f>I274-G274</f>
        <v/>
      </c>
      <c r="Y274" s="75">
        <f>G274-M274</f>
        <v/>
      </c>
    </row>
    <row r="275">
      <c r="A275" s="24" t="n"/>
      <c r="B275" s="21" t="n"/>
      <c r="C275" s="21" t="n"/>
      <c r="F275" s="21" t="n"/>
      <c r="G275" s="21" t="n"/>
    </row>
    <row r="276">
      <c r="A276" s="24" t="n"/>
      <c r="B276" s="21" t="n"/>
      <c r="C276" s="21" t="n"/>
      <c r="F276" s="21" t="n"/>
      <c r="G276" s="21" t="n"/>
    </row>
    <row r="277">
      <c r="A277" s="24" t="n"/>
      <c r="B277" s="21" t="n"/>
      <c r="C277" s="21" t="n"/>
      <c r="F277" s="21" t="n"/>
      <c r="G277" s="21" t="n"/>
    </row>
    <row r="278">
      <c r="A278" s="24" t="n"/>
      <c r="B278" s="21" t="n"/>
      <c r="C278" s="21" t="n"/>
      <c r="F278" s="21" t="n"/>
      <c r="G278" s="21" t="n"/>
    </row>
    <row r="279">
      <c r="A279" s="24" t="n"/>
      <c r="B279" s="21" t="n"/>
      <c r="C279" s="21" t="n"/>
      <c r="F279" s="25" t="n"/>
      <c r="G279" s="21" t="n"/>
    </row>
  </sheetData>
  <pageMargins left="0.7" right="0.7" top="0.75" bottom="0.75" header="0.3" footer="0.3"/>
  <pageSetup orientation="portrait" paperSize="5"/>
</worksheet>
</file>

<file path=xl/worksheets/sheet7.xml><?xml version="1.0" encoding="utf-8"?>
<worksheet xmlns="http://schemas.openxmlformats.org/spreadsheetml/2006/main">
  <sheetPr codeName="Hoja7">
    <outlinePr summaryBelow="1" summaryRight="1"/>
    <pageSetUpPr/>
  </sheetPr>
  <dimension ref="A1:H238"/>
  <sheetViews>
    <sheetView workbookViewId="0">
      <selection activeCell="A237" sqref="A237"/>
    </sheetView>
  </sheetViews>
  <sheetFormatPr baseColWidth="10" defaultRowHeight="15"/>
  <cols>
    <col width="17.5703125" bestFit="1" customWidth="1" style="76" min="1" max="1"/>
    <col width="12.140625" bestFit="1" customWidth="1" style="25" min="2" max="3"/>
    <col width="13.5703125" bestFit="1" customWidth="1" style="25" min="4" max="4"/>
    <col width="12.140625" bestFit="1" customWidth="1" style="25" min="5" max="6"/>
    <col width="13.5703125" bestFit="1" customWidth="1" style="76" min="7" max="7"/>
    <col width="12.140625" bestFit="1" customWidth="1" style="76" min="8" max="8"/>
  </cols>
  <sheetData>
    <row r="1">
      <c r="B1" s="35" t="inlineStr">
        <is>
          <t>Valores</t>
        </is>
      </c>
    </row>
    <row r="2">
      <c r="A2" s="35" t="inlineStr">
        <is>
          <t>Etiquetas de fila</t>
        </is>
      </c>
      <c r="B2" t="inlineStr">
        <is>
          <t>Suma de P29</t>
        </is>
      </c>
      <c r="C2" t="inlineStr">
        <is>
          <t>Suma de P30</t>
        </is>
      </c>
      <c r="D2" t="inlineStr">
        <is>
          <t>Suma de PG29</t>
        </is>
      </c>
      <c r="E2" t="inlineStr">
        <is>
          <t>Suma de P38</t>
        </is>
      </c>
      <c r="F2" s="25" t="inlineStr">
        <is>
          <t>Suma de P41</t>
        </is>
      </c>
      <c r="G2" t="inlineStr">
        <is>
          <t>Suma de PG30</t>
        </is>
      </c>
      <c r="H2" t="inlineStr">
        <is>
          <t>Suma de P35</t>
        </is>
      </c>
    </row>
    <row r="3">
      <c r="A3" s="36" t="n">
        <v>44132</v>
      </c>
      <c r="B3" s="25" t="n">
        <v>0.4450973900568339</v>
      </c>
      <c r="C3" s="25" t="n">
        <v>0.388337800689641</v>
      </c>
      <c r="D3" s="25" t="n">
        <v>0.4833636815096838</v>
      </c>
      <c r="E3" s="25" t="n">
        <v>0.3613142939406196</v>
      </c>
      <c r="F3" s="25" t="n">
        <v>0.3381941826109012</v>
      </c>
      <c r="G3" s="25" t="n">
        <v>0.40492234366012</v>
      </c>
      <c r="H3" s="25" t="n">
        <v>0.3503047171169442</v>
      </c>
    </row>
    <row r="4">
      <c r="A4" s="36" t="n">
        <v>44133</v>
      </c>
      <c r="B4" s="25" t="n">
        <v>0.4576723590917869</v>
      </c>
      <c r="C4" s="25" t="n">
        <v>0.3877359492985361</v>
      </c>
      <c r="D4" s="25" t="n">
        <v>0.4702596076916711</v>
      </c>
      <c r="E4" s="25" t="n">
        <v>0.3612129687708872</v>
      </c>
      <c r="F4" s="25" t="n">
        <v>0.3367918093416556</v>
      </c>
      <c r="G4" s="25" t="n">
        <v>0.3957227527503193</v>
      </c>
      <c r="H4" s="25" t="n">
        <v>0.350403603121883</v>
      </c>
    </row>
    <row r="5">
      <c r="A5" s="36" t="n">
        <v>44134</v>
      </c>
      <c r="B5" s="25" t="n">
        <v>0.4521214963584197</v>
      </c>
      <c r="C5" s="25" t="n">
        <v>0.3808286603507136</v>
      </c>
      <c r="D5" s="25" t="n">
        <v>0.4682327300816597</v>
      </c>
      <c r="E5" s="25" t="n">
        <v>0.3601107805366275</v>
      </c>
      <c r="F5" s="25" t="n">
        <v>0.3352893593100895</v>
      </c>
      <c r="G5" s="25" t="n">
        <v>0.3984208616096803</v>
      </c>
      <c r="H5" s="25" t="n">
        <v>0.3513031794562431</v>
      </c>
    </row>
    <row r="6">
      <c r="A6" s="36" t="n">
        <v>44137</v>
      </c>
      <c r="B6" s="25" t="n">
        <v>0.4401023420043585</v>
      </c>
      <c r="C6" s="25" t="n">
        <v>0.386729779846513</v>
      </c>
      <c r="D6" s="25" t="n">
        <v>0.4513792722959367</v>
      </c>
      <c r="E6" s="25" t="n">
        <v>0.3628093819729838</v>
      </c>
      <c r="F6" s="25" t="n">
        <v>0.3362867650839243</v>
      </c>
      <c r="G6" s="25" t="n">
        <v>0.4046154741646437</v>
      </c>
      <c r="H6" s="25" t="n">
        <v>0.3508992257095949</v>
      </c>
    </row>
    <row r="7">
      <c r="A7" s="36" t="n">
        <v>44138</v>
      </c>
      <c r="B7" s="25" t="n">
        <v>0.4510647688403398</v>
      </c>
      <c r="C7" s="25" t="n">
        <v>0.384126244207409</v>
      </c>
      <c r="D7" s="25" t="n">
        <v>0.4506620324395895</v>
      </c>
      <c r="E7" s="25" t="n">
        <v>0.3688132386410376</v>
      </c>
      <c r="F7" s="25" t="n">
        <v>0.3404891825934355</v>
      </c>
      <c r="G7" s="25" t="n">
        <v>0.411412645260253</v>
      </c>
      <c r="H7" s="25" t="n">
        <v>0.3553017631412981</v>
      </c>
    </row>
    <row r="8">
      <c r="A8" s="36" t="n">
        <v>44139</v>
      </c>
      <c r="B8" s="25" t="n">
        <v>0.4520591399332469</v>
      </c>
      <c r="C8" s="25" t="n">
        <v>0.3842250122535158</v>
      </c>
      <c r="D8" s="25" t="n">
        <v>0.4575966126941219</v>
      </c>
      <c r="E8" s="25" t="n">
        <v>0.3728153609388764</v>
      </c>
      <c r="F8" s="25" t="n">
        <v>0.3402878462260885</v>
      </c>
      <c r="G8" s="25" t="n">
        <v>0.4091117327425932</v>
      </c>
      <c r="H8" s="25" t="n">
        <v>0.3563013919308456</v>
      </c>
    </row>
    <row r="9">
      <c r="A9" s="36" t="n">
        <v>44140</v>
      </c>
      <c r="B9" s="25" t="n">
        <v>0.4580873834611353</v>
      </c>
      <c r="C9" s="25" t="n">
        <v>0.3802203226005471</v>
      </c>
      <c r="D9" s="25" t="n">
        <v>0.4681552380426988</v>
      </c>
      <c r="E9" s="25" t="n">
        <v>0.3743153478615546</v>
      </c>
      <c r="F9" s="25" t="n">
        <v>0.346391823248353</v>
      </c>
      <c r="G9" s="25" t="n">
        <v>0.4064109236331763</v>
      </c>
      <c r="H9" s="25" t="n">
        <v>0.3628056513363999</v>
      </c>
    </row>
    <row r="10">
      <c r="A10" s="36" t="n">
        <v>44141</v>
      </c>
      <c r="B10" s="25" t="n">
        <v>0.4571686663908426</v>
      </c>
      <c r="C10" s="25" t="n">
        <v>0.3803191033572689</v>
      </c>
      <c r="D10" s="25" t="n">
        <v>0.4590815059991725</v>
      </c>
      <c r="E10" s="25" t="n">
        <v>0.3741138969340714</v>
      </c>
      <c r="F10" s="25" t="n">
        <v>0.3461904680296825</v>
      </c>
      <c r="G10" s="25" t="n">
        <v>0.4049098659544964</v>
      </c>
      <c r="H10" s="25" t="n">
        <v>0.3583006289523744</v>
      </c>
    </row>
    <row r="11">
      <c r="A11" s="36" t="n">
        <v>44144</v>
      </c>
      <c r="B11" s="25" t="n">
        <v>0.4600501958188538</v>
      </c>
      <c r="C11" s="25" t="n">
        <v>0.3838180958191378</v>
      </c>
      <c r="D11" s="25" t="n">
        <v>0.4630702189861548</v>
      </c>
      <c r="E11" s="25" t="n">
        <v>0.379314363273672</v>
      </c>
      <c r="F11" s="25" t="n">
        <v>0.3477882354554117</v>
      </c>
      <c r="G11" s="25" t="n">
        <v>0.4163030527137516</v>
      </c>
      <c r="H11" s="25" t="n">
        <v>0.3728089718191104</v>
      </c>
    </row>
    <row r="12">
      <c r="A12" s="36" t="n">
        <v>44145</v>
      </c>
      <c r="B12" s="25" t="n">
        <v>0.4545009514879064</v>
      </c>
      <c r="C12" s="25" t="n">
        <v>0.3843171932999496</v>
      </c>
      <c r="D12" s="25" t="n">
        <v>0.4679900162718222</v>
      </c>
      <c r="E12" s="25" t="n">
        <v>0.3853180193241683</v>
      </c>
      <c r="F12" s="25" t="n">
        <v>0.3522907605249538</v>
      </c>
      <c r="G12" s="25" t="n">
        <v>0.4149019580989424</v>
      </c>
      <c r="H12" s="25" t="n">
        <v>0.3713064549851076</v>
      </c>
    </row>
    <row r="13">
      <c r="A13" s="36" t="n">
        <v>44146</v>
      </c>
      <c r="B13" s="25" t="n">
        <v>0.4509652509652509</v>
      </c>
      <c r="C13" s="25" t="n">
        <v>0.3923224568138196</v>
      </c>
      <c r="D13" s="25" t="n">
        <v>0.4650579150579151</v>
      </c>
      <c r="E13" s="25" t="n">
        <v>0.3848162873594735</v>
      </c>
      <c r="F13" s="25" t="n">
        <v>0.3541911159857417</v>
      </c>
      <c r="G13" s="25" t="n">
        <v>0.4188995788680795</v>
      </c>
      <c r="H13" s="25" t="n">
        <v>0.3733068275294762</v>
      </c>
    </row>
    <row r="14">
      <c r="A14" s="36" t="n">
        <v>44147</v>
      </c>
      <c r="B14" s="25" t="n">
        <v>0.4429000854912992</v>
      </c>
      <c r="C14" s="25" t="n">
        <v>0.3950233238849606</v>
      </c>
      <c r="D14" s="25" t="n">
        <v>0.4655483853175588</v>
      </c>
      <c r="E14" s="25" t="n">
        <v>0.3903194738158973</v>
      </c>
      <c r="F14" s="25" t="n">
        <v>0.3567920318342753</v>
      </c>
      <c r="G14" s="25" t="n">
        <v>0.4223972938086972</v>
      </c>
      <c r="H14" s="25" t="n">
        <v>0.3662998138887651</v>
      </c>
    </row>
    <row r="15">
      <c r="A15" s="36" t="n">
        <v>44148</v>
      </c>
      <c r="B15" s="25" t="n">
        <v>0.4529535050466053</v>
      </c>
      <c r="C15" s="25" t="n">
        <v>0.3993254776153166</v>
      </c>
      <c r="D15" s="25" t="n">
        <v>0.4655355468534554</v>
      </c>
      <c r="E15" s="25" t="n">
        <v>0.3970236014285616</v>
      </c>
      <c r="F15" s="25" t="n">
        <v>0.3591927667071106</v>
      </c>
      <c r="G15" s="25" t="n">
        <v>0.424895231312827</v>
      </c>
      <c r="H15" s="25" t="n">
        <v>0.3686004346008048</v>
      </c>
    </row>
    <row r="16">
      <c r="A16" s="36" t="n">
        <v>44151</v>
      </c>
      <c r="B16" s="25" t="n">
        <v>0.4529160347442437</v>
      </c>
      <c r="C16" s="25" t="n">
        <v>0.4029242712456943</v>
      </c>
      <c r="D16" s="25" t="n">
        <v>0.463081483524059</v>
      </c>
      <c r="E16" s="25" t="n">
        <v>0.3983205662091066</v>
      </c>
      <c r="F16" s="25" t="n">
        <v>0.3620914091820472</v>
      </c>
      <c r="G16" s="25" t="n">
        <v>0.4282899940083883</v>
      </c>
      <c r="H16" s="25" t="n">
        <v>0.3728000274193272</v>
      </c>
    </row>
    <row r="17">
      <c r="A17" s="36" t="n">
        <v>44152</v>
      </c>
      <c r="B17" s="25" t="n">
        <v>0.4433422489383996</v>
      </c>
      <c r="C17" s="25" t="n">
        <v>0.4021222486513165</v>
      </c>
      <c r="D17" s="25" t="n">
        <v>0.4599487122925054</v>
      </c>
      <c r="E17" s="25" t="n">
        <v>0.3968179979846864</v>
      </c>
      <c r="F17" s="25" t="n">
        <v>0.3582871205006752</v>
      </c>
      <c r="G17" s="25" t="n">
        <v>0.4167915200153384</v>
      </c>
      <c r="H17" s="25" t="n">
        <v>0.3722983486766793</v>
      </c>
    </row>
    <row r="18">
      <c r="A18" s="36" t="n">
        <v>44153</v>
      </c>
      <c r="B18" s="25" t="n">
        <v>0.4377946893870461</v>
      </c>
      <c r="C18" s="25" t="n">
        <v>0.3977173566578812</v>
      </c>
      <c r="D18" s="25" t="n">
        <v>0.4478589351200816</v>
      </c>
      <c r="E18" s="25" t="n">
        <v>0.3943146414776174</v>
      </c>
      <c r="F18" s="25" t="n">
        <v>0.3567846946364736</v>
      </c>
      <c r="G18" s="25" t="n">
        <v>0.4139908311849272</v>
      </c>
      <c r="H18" s="25" t="n">
        <v>0.3752994684114379</v>
      </c>
    </row>
    <row r="19">
      <c r="A19" s="36" t="n">
        <v>44154</v>
      </c>
      <c r="B19" s="25" t="n">
        <v>0.4257058564023381</v>
      </c>
      <c r="C19" s="25" t="n">
        <v>0.3946135285569357</v>
      </c>
      <c r="D19" s="25" t="n">
        <v>0.4478465865225543</v>
      </c>
      <c r="E19" s="25" t="n">
        <v>0.3903101094019906</v>
      </c>
      <c r="F19" s="25" t="n">
        <v>0.3527802911902608</v>
      </c>
      <c r="G19" s="25" t="n">
        <v>0.4088907757516828</v>
      </c>
      <c r="H19" s="25" t="n">
        <v>0.3691933316881906</v>
      </c>
    </row>
    <row r="20">
      <c r="A20" s="36" t="n">
        <v>44155</v>
      </c>
      <c r="B20" s="25" t="n">
        <v>0.4246877498690342</v>
      </c>
      <c r="C20" s="25" t="n">
        <v>0.390809167526365</v>
      </c>
      <c r="D20" s="25" t="n">
        <v>0.4429030301359287</v>
      </c>
      <c r="E20" s="25" t="n">
        <v>0.3882071090485967</v>
      </c>
      <c r="F20" s="25" t="n">
        <v>0.3522786862209488</v>
      </c>
      <c r="G20" s="25" t="n">
        <v>0.4083895110569401</v>
      </c>
      <c r="H20" s="25" t="n">
        <v>0.3677909579153371</v>
      </c>
    </row>
    <row r="21">
      <c r="A21" s="36" t="n">
        <v>44159</v>
      </c>
      <c r="B21" s="25" t="n">
        <v>0.4291690789292311</v>
      </c>
      <c r="C21" s="25" t="n">
        <v>0.3888022538068979</v>
      </c>
      <c r="D21" s="25" t="n">
        <v>0.4458729633611778</v>
      </c>
      <c r="E21" s="25" t="n">
        <v>0.3807960297902822</v>
      </c>
      <c r="F21" s="25" t="n">
        <v>0.350272300726935</v>
      </c>
      <c r="G21" s="25" t="n">
        <v>0.4118829236894992</v>
      </c>
      <c r="H21" s="25" t="n">
        <v>0.3620814811514431</v>
      </c>
    </row>
    <row r="22">
      <c r="A22" s="36" t="n">
        <v>44160</v>
      </c>
      <c r="B22" s="25" t="n">
        <v>0.4366033522633291</v>
      </c>
      <c r="C22" s="25" t="n">
        <v>0.3923036322633272</v>
      </c>
      <c r="D22" s="25" t="n">
        <v>0.4528036610244252</v>
      </c>
      <c r="E22" s="25" t="n">
        <v>0.3802943373981232</v>
      </c>
      <c r="F22" s="25" t="n">
        <v>0.3542656992744558</v>
      </c>
      <c r="G22" s="25" t="n">
        <v>0.4158803631831939</v>
      </c>
      <c r="H22" s="25" t="n">
        <v>0.364281944244518</v>
      </c>
    </row>
    <row r="23">
      <c r="A23" s="36" t="n">
        <v>44161</v>
      </c>
      <c r="B23" s="25" t="n">
        <v>0.4346795313576844</v>
      </c>
      <c r="C23" s="25" t="n">
        <v>0.3903007454374089</v>
      </c>
      <c r="D23" s="25" t="n">
        <v>0.4537973811164714</v>
      </c>
      <c r="E23" s="25" t="n">
        <v>0.3753892554194156</v>
      </c>
      <c r="F23" s="25" t="n">
        <v>0.3492691286093736</v>
      </c>
      <c r="G23" s="25" t="n">
        <v>0.4118801033945598</v>
      </c>
      <c r="H23" s="25" t="n">
        <v>0.357375374860766</v>
      </c>
    </row>
    <row r="24">
      <c r="A24" s="36" t="n">
        <v>44162</v>
      </c>
      <c r="B24" s="25" t="n">
        <v>0.4323533465652222</v>
      </c>
      <c r="C24" s="25" t="n">
        <v>0.3903994845360825</v>
      </c>
      <c r="D24" s="25" t="n">
        <v>0.4537848715404124</v>
      </c>
      <c r="E24" s="25" t="n">
        <v>0.3752878920815969</v>
      </c>
      <c r="F24" s="25" t="n">
        <v>0.3502686992761571</v>
      </c>
      <c r="G24" s="25" t="n">
        <v>0.4147778394034634</v>
      </c>
      <c r="H24" s="25" t="n">
        <v>0.3625781421364334</v>
      </c>
    </row>
    <row r="25">
      <c r="A25" s="36" t="n">
        <v>44165</v>
      </c>
      <c r="B25" s="25" t="n">
        <v>0.4245706882769646</v>
      </c>
      <c r="C25" s="25" t="n">
        <v>0.3863924408542082</v>
      </c>
      <c r="D25" s="25" t="n">
        <v>0.4442900851732407</v>
      </c>
      <c r="E25" s="25" t="n">
        <v>0.3717813824846887</v>
      </c>
      <c r="F25" s="25" t="n">
        <v>0.3502650978994376</v>
      </c>
      <c r="G25" s="25" t="n">
        <v>0.406875986428794</v>
      </c>
      <c r="H25" s="25" t="n">
        <v>0.3601725963828789</v>
      </c>
    </row>
    <row r="26">
      <c r="A26" s="36" t="n">
        <v>44166</v>
      </c>
      <c r="B26" s="25" t="n">
        <v>0.421138368246968</v>
      </c>
      <c r="C26" s="25" t="n">
        <v>0.3850901364041401</v>
      </c>
      <c r="D26" s="25" t="n">
        <v>0.4448814773980154</v>
      </c>
      <c r="E26" s="25" t="n">
        <v>0.3697786003153061</v>
      </c>
      <c r="F26" s="25" t="n">
        <v>0.3462608814860512</v>
      </c>
      <c r="G26" s="25" t="n">
        <v>0.4066746550720668</v>
      </c>
      <c r="H26" s="25" t="n">
        <v>0.3538666118308315</v>
      </c>
    </row>
    <row r="27">
      <c r="A27" s="36" t="n">
        <v>44167</v>
      </c>
      <c r="B27" s="25" t="n">
        <v>0.4201207243460764</v>
      </c>
      <c r="C27" s="25" t="n">
        <v>0.386790092569427</v>
      </c>
      <c r="D27" s="25" t="n">
        <v>0.4426559356136821</v>
      </c>
      <c r="E27" s="25" t="n">
        <v>0.3800850637978483</v>
      </c>
      <c r="F27" s="25" t="n">
        <v>0.3472604453340005</v>
      </c>
      <c r="G27" s="25" t="n">
        <v>0.405973480867264</v>
      </c>
      <c r="H27" s="25" t="n">
        <v>0.3562672004003002</v>
      </c>
    </row>
    <row r="28">
      <c r="A28" s="36" t="n">
        <v>44168</v>
      </c>
      <c r="B28" s="25" t="n">
        <v>0.4205115484262169</v>
      </c>
      <c r="C28" s="25" t="n">
        <v>0.3886901865091061</v>
      </c>
      <c r="D28" s="25" t="n">
        <v>0.4426437351854914</v>
      </c>
      <c r="E28" s="25" t="n">
        <v>0.3741793530786683</v>
      </c>
      <c r="F28" s="25" t="n">
        <v>0.3472592551973734</v>
      </c>
      <c r="G28" s="25" t="n">
        <v>0.404872437451214</v>
      </c>
      <c r="H28" s="25" t="n">
        <v>0.3570665771020831</v>
      </c>
    </row>
    <row r="29">
      <c r="A29" s="36" t="n">
        <v>44169</v>
      </c>
      <c r="B29" s="25" t="n">
        <v>0.4200975663533886</v>
      </c>
      <c r="C29" s="25" t="n">
        <v>0.3862870695002794</v>
      </c>
      <c r="D29" s="25" t="n">
        <v>0.4396135931427942</v>
      </c>
      <c r="E29" s="25" t="n">
        <v>0.3715761370607609</v>
      </c>
      <c r="F29" s="25" t="n">
        <v>0.3449563545511561</v>
      </c>
      <c r="G29" s="25" t="n">
        <v>0.3992728343370091</v>
      </c>
      <c r="H29" s="25" t="n">
        <v>0.3532625272891155</v>
      </c>
    </row>
    <row r="30">
      <c r="A30" s="36" t="n">
        <v>44174</v>
      </c>
      <c r="B30" s="25" t="n">
        <v>0.4194361772486773</v>
      </c>
      <c r="C30" s="25" t="n">
        <v>0.3914842282753231</v>
      </c>
      <c r="D30" s="25" t="n">
        <v>0.437541335978836</v>
      </c>
      <c r="E30" s="25" t="n">
        <v>0.3715697698328924</v>
      </c>
      <c r="F30" s="25" t="n">
        <v>0.3449504434726582</v>
      </c>
      <c r="G30" s="25" t="n">
        <v>0.3998657984648988</v>
      </c>
      <c r="H30" s="25" t="n">
        <v>0.3492535676587111</v>
      </c>
    </row>
    <row r="31">
      <c r="A31" s="36" t="n">
        <v>44175</v>
      </c>
      <c r="B31" s="25" t="n">
        <v>0.4236490396538896</v>
      </c>
      <c r="C31" s="25" t="n">
        <v>0.3969868637954138</v>
      </c>
      <c r="D31" s="25" t="n">
        <v>0.437529278844829</v>
      </c>
      <c r="E31" s="25" t="n">
        <v>0.3737700872891028</v>
      </c>
      <c r="F31" s="25" t="n">
        <v>0.34775128603203</v>
      </c>
      <c r="G31" s="25" t="n">
        <v>0.4058623959684902</v>
      </c>
      <c r="H31" s="25" t="n">
        <v>0.3553567817840974</v>
      </c>
    </row>
    <row r="32">
      <c r="A32" s="36" t="n">
        <v>44176</v>
      </c>
      <c r="B32" s="25" t="n">
        <v>0.4216257922292643</v>
      </c>
      <c r="C32" s="25" t="n">
        <v>0.3987867987251105</v>
      </c>
      <c r="D32" s="25" t="n">
        <v>0.4394282171397079</v>
      </c>
      <c r="E32" s="25" t="n">
        <v>0.3734685904246204</v>
      </c>
      <c r="F32" s="25" t="n">
        <v>0.3494513177285034</v>
      </c>
      <c r="G32" s="25" t="n">
        <v>0.4077603560424512</v>
      </c>
      <c r="H32" s="25" t="n">
        <v>0.3562562116590699</v>
      </c>
    </row>
    <row r="33">
      <c r="A33" s="36" t="n">
        <v>44179</v>
      </c>
      <c r="B33" s="25" t="n">
        <v>0.4234012068442951</v>
      </c>
      <c r="C33" s="25" t="n">
        <v>0.4035861038475906</v>
      </c>
      <c r="D33" s="25" t="n">
        <v>0.4455266855867522</v>
      </c>
      <c r="E33" s="25" t="n">
        <v>0.3744654601035666</v>
      </c>
      <c r="F33" s="25" t="n">
        <v>0.3482468736398748</v>
      </c>
      <c r="G33" s="25" t="n">
        <v>0.4148536646319962</v>
      </c>
      <c r="H33" s="25" t="n">
        <v>0.3562525488959639</v>
      </c>
    </row>
    <row r="34">
      <c r="A34" s="36" t="n">
        <v>44180</v>
      </c>
      <c r="B34" s="25" t="n">
        <v>0.4198696754284455</v>
      </c>
      <c r="C34" s="25" t="n">
        <v>0.4005826027951226</v>
      </c>
      <c r="D34" s="25" t="n">
        <v>0.4414917066181738</v>
      </c>
      <c r="E34" s="25" t="n">
        <v>0.3702612116767308</v>
      </c>
      <c r="F34" s="25" t="n">
        <v>0.3482456801716279</v>
      </c>
      <c r="G34" s="25" t="n">
        <v>0.4064552351217374</v>
      </c>
      <c r="H34" s="25" t="n">
        <v>0.351247798104142</v>
      </c>
    </row>
    <row r="35">
      <c r="A35" s="36" t="n">
        <v>44181</v>
      </c>
      <c r="B35" s="25" t="n">
        <v>0.4178468108554897</v>
      </c>
      <c r="C35" s="25" t="n">
        <v>0.3980794736030432</v>
      </c>
      <c r="D35" s="25" t="n">
        <v>0.4372558203609312</v>
      </c>
      <c r="E35" s="25" t="n">
        <v>0.3730619099025</v>
      </c>
      <c r="F35" s="25" t="n">
        <v>0.3482444867115612</v>
      </c>
      <c r="G35" s="25" t="n">
        <v>0.4078533404084148</v>
      </c>
      <c r="H35" s="25" t="n">
        <v>0.3512465943556264</v>
      </c>
    </row>
    <row r="36">
      <c r="A36" s="36" t="n">
        <v>44182</v>
      </c>
      <c r="B36" s="25" t="n">
        <v>0.4180364227463081</v>
      </c>
      <c r="C36" s="25" t="n">
        <v>0.3986785288352137</v>
      </c>
      <c r="D36" s="25" t="n">
        <v>0.437143211373154</v>
      </c>
      <c r="E36" s="25" t="n">
        <v>0.3792649659351053</v>
      </c>
      <c r="F36" s="25" t="n">
        <v>0.3507450410560802</v>
      </c>
      <c r="G36" s="25" t="n">
        <v>0.4099511821051262</v>
      </c>
      <c r="H36" s="25" t="n">
        <v>0.3587506340045786</v>
      </c>
    </row>
    <row r="37">
      <c r="A37" s="36" t="n">
        <v>44183</v>
      </c>
      <c r="B37" s="25" t="n">
        <v>0.4198349725872662</v>
      </c>
      <c r="C37" s="25" t="n">
        <v>0.4024798061666158</v>
      </c>
      <c r="D37" s="25" t="n">
        <v>0.4374328456897264</v>
      </c>
      <c r="E37" s="25" t="n">
        <v>0.3828661706597394</v>
      </c>
      <c r="F37" s="25" t="n">
        <v>0.3552469696398524</v>
      </c>
      <c r="G37" s="25" t="n">
        <v>0.4138483500908913</v>
      </c>
      <c r="H37" s="25" t="n">
        <v>0.3620517003259115</v>
      </c>
    </row>
    <row r="38">
      <c r="A38" s="36" t="n">
        <v>44186</v>
      </c>
      <c r="B38" s="25" t="n">
        <v>0.4244256198347108</v>
      </c>
      <c r="C38" s="25" t="n">
        <v>0.4076792323509253</v>
      </c>
      <c r="D38" s="25" t="n">
        <v>0.4462451790633609</v>
      </c>
      <c r="E38" s="25" t="n">
        <v>0.3863646333104866</v>
      </c>
      <c r="F38" s="25" t="n">
        <v>0.355743660041124</v>
      </c>
      <c r="G38" s="25" t="n">
        <v>0.4113450412515833</v>
      </c>
      <c r="H38" s="25" t="n">
        <v>0.3702535983550377</v>
      </c>
    </row>
    <row r="39">
      <c r="A39" s="36" t="n">
        <v>44187</v>
      </c>
      <c r="B39" s="25" t="n">
        <v>0.425318861739346</v>
      </c>
      <c r="C39" s="25" t="n">
        <v>0.4073776306455427</v>
      </c>
      <c r="D39" s="25" t="n">
        <v>0.4374851932453651</v>
      </c>
      <c r="E39" s="25" t="n">
        <v>0.3867635820302192</v>
      </c>
      <c r="F39" s="25" t="n">
        <v>0.3597451687965429</v>
      </c>
      <c r="G39" s="25" t="n">
        <v>0.412343253078453</v>
      </c>
      <c r="H39" s="25" t="n">
        <v>0.3652489196404399</v>
      </c>
    </row>
    <row r="40">
      <c r="A40" s="36" t="n">
        <v>44188</v>
      </c>
      <c r="B40" s="25" t="n">
        <v>0.4250055093383285</v>
      </c>
      <c r="C40" s="25" t="n">
        <v>0.4064756238819473</v>
      </c>
      <c r="D40" s="25" t="n">
        <v>0.4423998677758801</v>
      </c>
      <c r="E40" s="25" t="n">
        <v>0.386061781619043</v>
      </c>
      <c r="F40" s="25" t="n">
        <v>0.3572422396008252</v>
      </c>
      <c r="G40" s="25" t="n">
        <v>0.4128416497781672</v>
      </c>
      <c r="H40" s="25" t="n">
        <v>0.3632463108546206</v>
      </c>
    </row>
    <row r="41">
      <c r="A41" s="36" t="n">
        <v>44193</v>
      </c>
      <c r="B41" s="25" t="n">
        <v>0.4246453851874294</v>
      </c>
      <c r="C41" s="25" t="n">
        <v>0.4092705109884273</v>
      </c>
      <c r="D41" s="25" t="n">
        <v>0.4423389429035723</v>
      </c>
      <c r="E41" s="25" t="n">
        <v>0.3902579444632925</v>
      </c>
      <c r="F41" s="25" t="n">
        <v>0.3572361183933216</v>
      </c>
      <c r="G41" s="25" t="n">
        <v>0.4187322203089858</v>
      </c>
      <c r="H41" s="25" t="n">
        <v>0.3677430630519487</v>
      </c>
    </row>
    <row r="42">
      <c r="A42" s="36" t="n">
        <v>44194</v>
      </c>
      <c r="B42" s="25" t="n">
        <v>0.4257395064448606</v>
      </c>
      <c r="C42" s="25" t="n">
        <v>0.4095693058449391</v>
      </c>
      <c r="D42" s="25" t="n">
        <v>0.4501680070507877</v>
      </c>
      <c r="E42" s="25" t="n">
        <v>0.3882552911503454</v>
      </c>
      <c r="F42" s="25" t="n">
        <v>0.3577352231604343</v>
      </c>
      <c r="G42" s="25" t="n">
        <v>0.4117336144982507</v>
      </c>
      <c r="H42" s="25" t="n">
        <v>0.3662408158789341</v>
      </c>
    </row>
    <row r="43">
      <c r="A43" s="36" t="n">
        <v>44195</v>
      </c>
      <c r="B43" s="25" t="n">
        <v>0.4257277809909389</v>
      </c>
      <c r="C43" s="25" t="n">
        <v>0.4096679677460257</v>
      </c>
      <c r="D43" s="25" t="n">
        <v>0.4513619212867333</v>
      </c>
      <c r="E43" s="25" t="n">
        <v>0.3822500334122663</v>
      </c>
      <c r="F43" s="25" t="n">
        <v>0.359234979044512</v>
      </c>
      <c r="G43" s="25" t="n">
        <v>0.4157305755531137</v>
      </c>
      <c r="H43" s="25" t="n">
        <v>0.3652389062708827</v>
      </c>
    </row>
    <row r="44">
      <c r="A44" s="36" t="n">
        <v>44200</v>
      </c>
      <c r="B44" s="25" t="n">
        <v>0.4157184556920196</v>
      </c>
      <c r="C44" s="25" t="n">
        <v>0.4057584625823298</v>
      </c>
      <c r="D44" s="25" t="n">
        <v>0.433308090543592</v>
      </c>
      <c r="E44" s="25" t="n">
        <v>0.3725373011575867</v>
      </c>
      <c r="F44" s="25" t="n">
        <v>0.3482218125244162</v>
      </c>
      <c r="G44" s="25" t="n">
        <v>0.404828086702907</v>
      </c>
      <c r="H44" s="25" t="n">
        <v>0.3612300986244663</v>
      </c>
    </row>
    <row r="45">
      <c r="A45" s="36" t="n">
        <v>44201</v>
      </c>
      <c r="B45" s="25" t="n">
        <v>0.4146014043783561</v>
      </c>
      <c r="C45" s="25" t="n">
        <v>0.4027551702277128</v>
      </c>
      <c r="D45" s="25" t="n">
        <v>0.4301803662398458</v>
      </c>
      <c r="E45" s="25" t="n">
        <v>0.3692339324572075</v>
      </c>
      <c r="F45" s="25" t="n">
        <v>0.3452187173380395</v>
      </c>
      <c r="G45" s="25" t="n">
        <v>0.4025276850663244</v>
      </c>
      <c r="H45" s="25" t="n">
        <v>0.3566259445196443</v>
      </c>
    </row>
    <row r="46">
      <c r="A46" s="36" t="n">
        <v>44202</v>
      </c>
      <c r="B46" s="25" t="n">
        <v>0.4171026544773653</v>
      </c>
      <c r="C46" s="25" t="n">
        <v>0.4012528442580256</v>
      </c>
      <c r="D46" s="25" t="n">
        <v>0.4407217204537945</v>
      </c>
      <c r="E46" s="25" t="n">
        <v>0.3740356937248129</v>
      </c>
      <c r="F46" s="25" t="n">
        <v>0.3462181648710146</v>
      </c>
      <c r="G46" s="25" t="n">
        <v>0.409323374160465</v>
      </c>
      <c r="H46" s="25" t="n">
        <v>0.3577254160155715</v>
      </c>
    </row>
    <row r="47">
      <c r="A47" s="36" t="n">
        <v>44203</v>
      </c>
      <c r="B47" s="25" t="n">
        <v>0.41437756422612</v>
      </c>
      <c r="C47" s="25" t="n">
        <v>0.3957480201633215</v>
      </c>
      <c r="D47" s="25" t="n">
        <v>0.4321667538618278</v>
      </c>
      <c r="E47" s="25" t="n">
        <v>0.3713327187929422</v>
      </c>
      <c r="F47" s="25" t="n">
        <v>0.348718546212181</v>
      </c>
      <c r="G47" s="25" t="n">
        <v>0.4058234945759892</v>
      </c>
      <c r="H47" s="25" t="n">
        <v>0.3513201766860738</v>
      </c>
    </row>
    <row r="48">
      <c r="A48" s="36" t="n">
        <v>44204</v>
      </c>
      <c r="B48" s="25" t="n">
        <v>0.4105471116250895</v>
      </c>
      <c r="C48" s="25" t="n">
        <v>0.3952463521784126</v>
      </c>
      <c r="D48" s="25" t="n">
        <v>0.4321548543421995</v>
      </c>
      <c r="E48" s="25" t="n">
        <v>0.3702307602683865</v>
      </c>
      <c r="F48" s="25" t="n">
        <v>0.3462157920347614</v>
      </c>
      <c r="G48" s="25" t="n">
        <v>0.4044227188081937</v>
      </c>
      <c r="H48" s="25" t="n">
        <v>0.3502182867403656</v>
      </c>
    </row>
    <row r="49">
      <c r="A49" s="36" t="n">
        <v>44207</v>
      </c>
      <c r="B49" s="25" t="n">
        <v>0.4097092591063022</v>
      </c>
      <c r="C49" s="25" t="n">
        <v>0.3906394673447079</v>
      </c>
      <c r="D49" s="25" t="n">
        <v>0.433124087993172</v>
      </c>
      <c r="E49" s="25" t="n">
        <v>0.3641232125172623</v>
      </c>
      <c r="F49" s="25" t="n">
        <v>0.3452116194516501</v>
      </c>
      <c r="G49" s="25" t="n">
        <v>0.4025194176585162</v>
      </c>
      <c r="H49" s="25" t="n">
        <v>0.3502146864002248</v>
      </c>
    </row>
    <row r="50">
      <c r="A50" s="36" t="n">
        <v>44208</v>
      </c>
      <c r="B50" s="25" t="n">
        <v>0.4115068002863279</v>
      </c>
      <c r="C50" s="25" t="n">
        <v>0.3906381287223033</v>
      </c>
      <c r="D50" s="25" t="n">
        <v>0.4322077528770442</v>
      </c>
      <c r="E50" s="25" t="n">
        <v>0.363721720774993</v>
      </c>
      <c r="F50" s="25" t="n">
        <v>0.3472116564206948</v>
      </c>
      <c r="G50" s="25" t="n">
        <v>0.4033176783098052</v>
      </c>
      <c r="H50" s="25" t="n">
        <v>0.3482122663815613</v>
      </c>
    </row>
    <row r="51">
      <c r="A51" s="36" t="n">
        <v>44209</v>
      </c>
      <c r="B51" s="25" t="n">
        <v>0.4073754921124356</v>
      </c>
      <c r="C51" s="25" t="n">
        <v>0.3900364261898479</v>
      </c>
      <c r="D51" s="25" t="n">
        <v>0.4240563830080115</v>
      </c>
      <c r="E51" s="25" t="n">
        <v>0.3624196859054975</v>
      </c>
      <c r="F51" s="25" t="n">
        <v>0.3427077372242763</v>
      </c>
      <c r="G51" s="25" t="n">
        <v>0.3934208049073538</v>
      </c>
      <c r="H51" s="25" t="n">
        <v>0.3442086470223389</v>
      </c>
    </row>
    <row r="52">
      <c r="A52" s="36" t="n">
        <v>44210</v>
      </c>
      <c r="B52" s="25" t="n">
        <v>0.4042492566897918</v>
      </c>
      <c r="C52" s="25" t="n">
        <v>0.3877337025056198</v>
      </c>
      <c r="D52" s="25" t="n">
        <v>0.4186185442131923</v>
      </c>
      <c r="E52" s="25" t="n">
        <v>0.3571152475464663</v>
      </c>
      <c r="F52" s="25" t="n">
        <v>0.3382038488952245</v>
      </c>
      <c r="G52" s="25" t="n">
        <v>0.3898211094908501</v>
      </c>
      <c r="H52" s="25" t="n">
        <v>0.3441074072043424</v>
      </c>
    </row>
    <row r="53">
      <c r="A53" s="36" t="n">
        <v>44211</v>
      </c>
      <c r="B53" s="25" t="n">
        <v>0.4027309015829318</v>
      </c>
      <c r="C53" s="25" t="n">
        <v>0.387132014049516</v>
      </c>
      <c r="D53" s="25" t="n">
        <v>0.4220233998623538</v>
      </c>
      <c r="E53" s="25" t="n">
        <v>0.3572140837830892</v>
      </c>
      <c r="F53" s="25" t="n">
        <v>0.3367017904566093</v>
      </c>
      <c r="G53" s="25" t="n">
        <v>0.3907193592003697</v>
      </c>
      <c r="H53" s="25" t="n">
        <v>0.3427053885033839</v>
      </c>
    </row>
    <row r="54">
      <c r="A54" s="36" t="n">
        <v>44214</v>
      </c>
      <c r="B54" s="25" t="n">
        <v>0.4028985906188065</v>
      </c>
      <c r="C54" s="25" t="n">
        <v>0.3882286826486834</v>
      </c>
      <c r="D54" s="25" t="n">
        <v>0.4219885487778022</v>
      </c>
      <c r="E54" s="25" t="n">
        <v>0.3582110010005893</v>
      </c>
      <c r="F54" s="25" t="n">
        <v>0.3381992132351933</v>
      </c>
      <c r="G54" s="25" t="n">
        <v>0.3966125598176204</v>
      </c>
      <c r="H54" s="25" t="n">
        <v>0.3427018654824074</v>
      </c>
    </row>
    <row r="55">
      <c r="A55" s="36" t="n">
        <v>44215</v>
      </c>
      <c r="B55" s="25" t="n">
        <v>0.4038922073274794</v>
      </c>
      <c r="C55" s="25" t="n">
        <v>0.3881272937233791</v>
      </c>
      <c r="D55" s="25" t="n">
        <v>0.4330287098461285</v>
      </c>
      <c r="E55" s="25" t="n">
        <v>0.358710066511553</v>
      </c>
      <c r="F55" s="25" t="n">
        <v>0.3386983473198346</v>
      </c>
      <c r="G55" s="25" t="n">
        <v>0.3993099175392536</v>
      </c>
      <c r="H55" s="25" t="n">
        <v>0.3442015700975571</v>
      </c>
    </row>
    <row r="56">
      <c r="A56" s="36" t="n">
        <v>44216</v>
      </c>
      <c r="B56" s="25" t="n">
        <v>0.4015703275529865</v>
      </c>
      <c r="C56" s="25" t="n">
        <v>0.3876256724805537</v>
      </c>
      <c r="D56" s="25" t="n">
        <v>0.4307060280759702</v>
      </c>
      <c r="E56" s="25" t="n">
        <v>0.3638118082445259</v>
      </c>
      <c r="F56" s="25" t="n">
        <v>0.33889730322448</v>
      </c>
      <c r="G56" s="25" t="n">
        <v>0.4010077360169781</v>
      </c>
      <c r="H56" s="25" t="n">
        <v>0.3411986430456088</v>
      </c>
    </row>
    <row r="57">
      <c r="A57" s="36" t="n">
        <v>44217</v>
      </c>
      <c r="B57" s="25" t="n">
        <v>0.400856018276403</v>
      </c>
      <c r="C57" s="25" t="n">
        <v>0.3871240546754799</v>
      </c>
      <c r="D57" s="25" t="n">
        <v>0.4325025460350664</v>
      </c>
      <c r="E57" s="25" t="n">
        <v>0.360308534734144</v>
      </c>
      <c r="F57" s="25" t="n">
        <v>0.3341934201644102</v>
      </c>
      <c r="G57" s="25" t="n">
        <v>0.3988074251816759</v>
      </c>
      <c r="H57" s="25" t="n">
        <v>0.3371951574712762</v>
      </c>
    </row>
    <row r="58">
      <c r="A58" s="36" t="n">
        <v>44218</v>
      </c>
      <c r="B58" s="25" t="n">
        <v>0.4018496091599691</v>
      </c>
      <c r="C58" s="25" t="n">
        <v>0.3871227281449601</v>
      </c>
      <c r="D58" s="25" t="n">
        <v>0.4370114499614665</v>
      </c>
      <c r="E58" s="25" t="n">
        <v>0.3622083938704461</v>
      </c>
      <c r="F58" s="25" t="n">
        <v>0.3371940020285644</v>
      </c>
      <c r="G58" s="25" t="n">
        <v>0.4048031436767052</v>
      </c>
      <c r="H58" s="25" t="n">
        <v>0.3405959593190603</v>
      </c>
    </row>
    <row r="59">
      <c r="A59" s="36" t="n">
        <v>44221</v>
      </c>
      <c r="B59" s="25" t="n">
        <v>0.4007114352552635</v>
      </c>
      <c r="C59" s="25" t="n">
        <v>0.3861181832199702</v>
      </c>
      <c r="D59" s="25" t="n">
        <v>0.435669464703454</v>
      </c>
      <c r="E59" s="25" t="n">
        <v>0.3652063666112701</v>
      </c>
      <c r="F59" s="25" t="n">
        <v>0.3361899703599637</v>
      </c>
      <c r="G59" s="25" t="n">
        <v>0.4037994831333755</v>
      </c>
      <c r="H59" s="25" t="n">
        <v>0.3421933626878202</v>
      </c>
    </row>
    <row r="60">
      <c r="A60" s="36" t="n">
        <v>44222</v>
      </c>
      <c r="B60" s="25" t="n">
        <v>0.4002986019374725</v>
      </c>
      <c r="C60" s="25" t="n">
        <v>0.3860168039583876</v>
      </c>
      <c r="D60" s="25" t="n">
        <v>0.4334475451343021</v>
      </c>
      <c r="E60" s="25" t="n">
        <v>0.3640044408503406</v>
      </c>
      <c r="F60" s="25" t="n">
        <v>0.3361888183774449</v>
      </c>
      <c r="G60" s="25" t="n">
        <v>0.4037981009495252</v>
      </c>
      <c r="H60" s="25" t="n">
        <v>0.3406913471949999</v>
      </c>
    </row>
    <row r="61">
      <c r="A61" s="36" t="n">
        <v>44223</v>
      </c>
      <c r="B61" s="25" t="n">
        <v>0.4001871370779096</v>
      </c>
      <c r="C61" s="25" t="n">
        <v>0.3845146434482262</v>
      </c>
      <c r="D61" s="25" t="n">
        <v>0.4319288879103944</v>
      </c>
      <c r="E61" s="25" t="n">
        <v>0.3669048133033166</v>
      </c>
      <c r="F61" s="25" t="n">
        <v>0.339089286142607</v>
      </c>
      <c r="G61" s="25" t="n">
        <v>0.4027972219464858</v>
      </c>
      <c r="H61" s="25" t="n">
        <v>0.3401899005266639</v>
      </c>
    </row>
    <row r="62">
      <c r="A62" s="36" t="n">
        <v>44224</v>
      </c>
      <c r="B62" s="25" t="n">
        <v>0.396258737409874</v>
      </c>
      <c r="C62" s="25" t="n">
        <v>0.382912437722298</v>
      </c>
      <c r="D62" s="25" t="n">
        <v>0.4319170014860477</v>
      </c>
      <c r="E62" s="25" t="n">
        <v>0.3677040001644748</v>
      </c>
      <c r="F62" s="25" t="n">
        <v>0.3371870695385796</v>
      </c>
      <c r="G62" s="25" t="n">
        <v>0.4001971603433876</v>
      </c>
      <c r="H62" s="25" t="n">
        <v>0.3391881797435564</v>
      </c>
    </row>
    <row r="63">
      <c r="A63" s="36" t="n">
        <v>44225</v>
      </c>
      <c r="B63" s="25" t="n">
        <v>0.3972522634084592</v>
      </c>
      <c r="C63" s="25" t="n">
        <v>0.3816104084786475</v>
      </c>
      <c r="D63" s="25" t="n">
        <v>0.4319051157158975</v>
      </c>
      <c r="E63" s="25" t="n">
        <v>0.3672024643724794</v>
      </c>
      <c r="F63" s="25" t="n">
        <v>0.3350847556358129</v>
      </c>
      <c r="G63" s="25" t="n">
        <v>0.4001957905041605</v>
      </c>
      <c r="H63" s="25" t="n">
        <v>0.3364855279794682</v>
      </c>
    </row>
    <row r="64">
      <c r="A64" s="36" t="n">
        <v>44228</v>
      </c>
      <c r="B64" s="25" t="n">
        <v>0.3995294700346707</v>
      </c>
      <c r="C64" s="25" t="n">
        <v>0.3811062150067502</v>
      </c>
      <c r="D64" s="25" t="n">
        <v>0.4318694623300864</v>
      </c>
      <c r="E64" s="25" t="n">
        <v>0.3676989603963788</v>
      </c>
      <c r="F64" s="25" t="n">
        <v>0.3361819066481178</v>
      </c>
      <c r="G64" s="25" t="n">
        <v>0.4037898080451272</v>
      </c>
      <c r="H64" s="25" t="n">
        <v>0.3381829894257852</v>
      </c>
    </row>
    <row r="65">
      <c r="A65" s="36" t="n">
        <v>44229</v>
      </c>
      <c r="B65" s="25" t="n">
        <v>0.4002215007016482</v>
      </c>
      <c r="C65" s="25" t="n">
        <v>0.3799042635937816</v>
      </c>
      <c r="D65" s="25" t="n">
        <v>0.4293467792972512</v>
      </c>
      <c r="E65" s="25" t="n">
        <v>0.3666971625154621</v>
      </c>
      <c r="F65" s="25" t="n">
        <v>0.3356804857406208</v>
      </c>
      <c r="G65" s="25" t="n">
        <v>0.399190834939227</v>
      </c>
      <c r="H65" s="25" t="n">
        <v>0.3381818306418177</v>
      </c>
    </row>
    <row r="66">
      <c r="A66" s="36" t="n">
        <v>44230</v>
      </c>
      <c r="B66" s="25" t="n">
        <v>0.3976997578692494</v>
      </c>
      <c r="C66" s="25" t="n">
        <v>0.3780019462452543</v>
      </c>
      <c r="D66" s="25" t="n">
        <v>0.4243135042923178</v>
      </c>
      <c r="E66" s="25" t="n">
        <v>0.3656953714998423</v>
      </c>
      <c r="F66" s="25" t="n">
        <v>0.3336782664711284</v>
      </c>
      <c r="G66" s="25" t="n">
        <v>0.3958912080615018</v>
      </c>
      <c r="H66" s="25" t="n">
        <v>0.3391812063979386</v>
      </c>
    </row>
    <row r="67">
      <c r="A67" s="36" t="n">
        <v>44231</v>
      </c>
      <c r="B67" s="25" t="n">
        <v>0.3964836978951712</v>
      </c>
      <c r="C67" s="25" t="n">
        <v>0.3765999074851377</v>
      </c>
      <c r="D67" s="25" t="n">
        <v>0.4293231531159719</v>
      </c>
      <c r="E67" s="25" t="n">
        <v>0.3629926844729223</v>
      </c>
      <c r="F67" s="25" t="n">
        <v>0.3370789288834826</v>
      </c>
      <c r="G67" s="25" t="n">
        <v>0.3969892693946706</v>
      </c>
      <c r="H67" s="25" t="n">
        <v>0.3411811064092241</v>
      </c>
    </row>
    <row r="68">
      <c r="A68" s="36" t="n">
        <v>44232</v>
      </c>
      <c r="B68" s="25" t="n">
        <v>0.3964727893028118</v>
      </c>
      <c r="C68" s="25" t="n">
        <v>0.3763985115437594</v>
      </c>
      <c r="D68" s="25" t="n">
        <v>0.437043966323667</v>
      </c>
      <c r="E68" s="25" t="n">
        <v>0.3601899631997698</v>
      </c>
      <c r="F68" s="25" t="n">
        <v>0.3376780904997841</v>
      </c>
      <c r="G68" s="25" t="n">
        <v>0.3995865222689248</v>
      </c>
      <c r="H68" s="25" t="n">
        <v>0.3412799901317818</v>
      </c>
    </row>
    <row r="69">
      <c r="A69" s="36" t="n">
        <v>44235</v>
      </c>
      <c r="B69" s="25" t="n">
        <v>0.3971429750474565</v>
      </c>
      <c r="C69" s="25" t="n">
        <v>0.3766947976522105</v>
      </c>
      <c r="D69" s="25" t="n">
        <v>0.4329912789897934</v>
      </c>
      <c r="E69" s="25" t="n">
        <v>0.3601862607033089</v>
      </c>
      <c r="F69" s="25" t="n">
        <v>0.3371743607139309</v>
      </c>
      <c r="G69" s="25" t="n">
        <v>0.3995824191621685</v>
      </c>
      <c r="H69" s="25" t="n">
        <v>0.3412764820163852</v>
      </c>
    </row>
    <row r="70">
      <c r="A70" s="36" t="n">
        <v>44236</v>
      </c>
      <c r="B70" s="25" t="n">
        <v>0.3963287482806052</v>
      </c>
      <c r="C70" s="25" t="n">
        <v>0.3753928387870482</v>
      </c>
      <c r="D70" s="25" t="n">
        <v>0.4297661623108666</v>
      </c>
      <c r="E70" s="25" t="n">
        <v>0.3581839986294329</v>
      </c>
      <c r="F70" s="25" t="n">
        <v>0.3369731026212095</v>
      </c>
      <c r="G70" s="25" t="n">
        <v>0.3986815443592552</v>
      </c>
      <c r="H70" s="25" t="n">
        <v>0.3382737707726572</v>
      </c>
    </row>
    <row r="71">
      <c r="A71" s="36" t="n">
        <v>44237</v>
      </c>
      <c r="B71" s="25" t="n">
        <v>0.3957153860966686</v>
      </c>
      <c r="C71" s="25" t="n">
        <v>0.374691195164656</v>
      </c>
      <c r="D71" s="25" t="n">
        <v>0.4297543396330225</v>
      </c>
      <c r="E71" s="25" t="n">
        <v>0.3551812397421972</v>
      </c>
      <c r="F71" s="25" t="n">
        <v>0.3344706716783564</v>
      </c>
      <c r="G71" s="25" t="n">
        <v>0.3963814472157475</v>
      </c>
      <c r="H71" s="25" t="n">
        <v>0.3390730201369877</v>
      </c>
    </row>
    <row r="72">
      <c r="A72" s="36" t="n">
        <v>44238</v>
      </c>
      <c r="B72" s="25" t="n">
        <v>0.3925918794014084</v>
      </c>
      <c r="C72" s="25" t="n">
        <v>0.3702876800570152</v>
      </c>
      <c r="D72" s="25" t="n">
        <v>0.4272323393485915</v>
      </c>
      <c r="E72" s="25" t="n">
        <v>0.3551800227512575</v>
      </c>
      <c r="F72" s="25" t="n">
        <v>0.3352699313350602</v>
      </c>
      <c r="G72" s="25" t="n">
        <v>0.395580534087253</v>
      </c>
      <c r="H72" s="25" t="n">
        <v>0.3381714019434507</v>
      </c>
    </row>
    <row r="73">
      <c r="A73" s="36" t="n">
        <v>44239</v>
      </c>
      <c r="B73" s="25" t="n">
        <v>0.3915770362831128</v>
      </c>
      <c r="C73" s="25" t="n">
        <v>0.3646835907117625</v>
      </c>
      <c r="D73" s="25" t="n">
        <v>0.4337468709597558</v>
      </c>
      <c r="E73" s="25" t="n">
        <v>0.3531777984122144</v>
      </c>
      <c r="F73" s="25" t="n">
        <v>0.3341682285260045</v>
      </c>
      <c r="G73" s="25" t="n">
        <v>0.3977779527181744</v>
      </c>
      <c r="H73" s="25" t="n">
        <v>0.3356689840433368</v>
      </c>
    </row>
    <row r="74">
      <c r="A74" s="36" t="n">
        <v>44244</v>
      </c>
      <c r="B74" s="25" t="n">
        <v>0.3884110787172012</v>
      </c>
      <c r="C74" s="25" t="n">
        <v>0.3615758348237842</v>
      </c>
      <c r="D74" s="25" t="n">
        <v>0.4256559766763848</v>
      </c>
      <c r="E74" s="25" t="n">
        <v>0.3470687800231619</v>
      </c>
      <c r="F74" s="25" t="n">
        <v>0.3286598277244414</v>
      </c>
      <c r="G74" s="25" t="n">
        <v>0.3920744229347498</v>
      </c>
      <c r="H74" s="25" t="n">
        <v>0.3291600709934283</v>
      </c>
    </row>
    <row r="75">
      <c r="A75" s="36" t="n">
        <v>44245</v>
      </c>
      <c r="B75" s="25" t="n">
        <v>0.3910104788360516</v>
      </c>
      <c r="C75" s="25" t="n">
        <v>0.3676775429231238</v>
      </c>
      <c r="D75" s="25" t="n">
        <v>0.4236365136554911</v>
      </c>
      <c r="E75" s="25" t="n">
        <v>0.3479680256562244</v>
      </c>
      <c r="F75" s="25" t="n">
        <v>0.3287587499443224</v>
      </c>
      <c r="G75" s="25" t="n">
        <v>0.3902741221690186</v>
      </c>
      <c r="H75" s="25" t="n">
        <v>0.3302594746093148</v>
      </c>
    </row>
    <row r="76">
      <c r="A76" s="36" t="n">
        <v>44246</v>
      </c>
      <c r="B76" s="25" t="n">
        <v>0.3869843234323432</v>
      </c>
      <c r="C76" s="25" t="n">
        <v>0.3620735969300349</v>
      </c>
      <c r="D76" s="25" t="n">
        <v>0.4237252475247525</v>
      </c>
      <c r="E76" s="25" t="n">
        <v>0.3481669293496882</v>
      </c>
      <c r="F76" s="25" t="n">
        <v>0.3301582950729802</v>
      </c>
      <c r="G76" s="25" t="n">
        <v>0.3857754047301229</v>
      </c>
      <c r="H76" s="25" t="n">
        <v>0.3251558966627836</v>
      </c>
    </row>
    <row r="77">
      <c r="A77" s="36" t="n">
        <v>44249</v>
      </c>
      <c r="B77" s="25" t="n">
        <v>0.3839410939691444</v>
      </c>
      <c r="C77" s="25" t="n">
        <v>0.3636706262869908</v>
      </c>
      <c r="D77" s="25" t="n">
        <v>0.4255974479553392</v>
      </c>
      <c r="E77" s="25" t="n">
        <v>0.3441614730198758</v>
      </c>
      <c r="F77" s="25" t="n">
        <v>0.3275536810078701</v>
      </c>
      <c r="G77" s="25" t="n">
        <v>0.3839725094379015</v>
      </c>
      <c r="H77" s="25" t="n">
        <v>0.3226513809561335</v>
      </c>
    </row>
    <row r="78">
      <c r="A78" s="36" t="n">
        <v>44250</v>
      </c>
      <c r="B78" s="25" t="n">
        <v>0.3783095919040809</v>
      </c>
      <c r="C78" s="25" t="n">
        <v>0.3576665844365869</v>
      </c>
      <c r="D78" s="25" t="n">
        <v>0.4195633043669563</v>
      </c>
      <c r="E78" s="25" t="n">
        <v>0.3411588959241291</v>
      </c>
      <c r="F78" s="25" t="n">
        <v>0.327552558725982</v>
      </c>
      <c r="G78" s="25" t="n">
        <v>0.3776749471205514</v>
      </c>
      <c r="H78" s="25" t="n">
        <v>0.3212496231121344</v>
      </c>
    </row>
    <row r="79">
      <c r="A79" s="36" t="n">
        <v>44251</v>
      </c>
      <c r="B79" s="25" t="n">
        <v>0.3804069847380723</v>
      </c>
      <c r="C79" s="25" t="n">
        <v>0.3609668853750878</v>
      </c>
      <c r="D79" s="25" t="n">
        <v>0.4165406297263853</v>
      </c>
      <c r="E79" s="25" t="n">
        <v>0.3431586521165607</v>
      </c>
      <c r="F79" s="25" t="n">
        <v>0.3311531016051942</v>
      </c>
      <c r="G79" s="25" t="n">
        <v>0.3808717378283563</v>
      </c>
      <c r="H79" s="25" t="n">
        <v>0.3251503263495109</v>
      </c>
    </row>
    <row r="80">
      <c r="A80" s="36" t="n">
        <v>44252</v>
      </c>
      <c r="B80" s="25" t="n">
        <v>0.3805972611780234</v>
      </c>
      <c r="C80" s="25" t="n">
        <v>0.3648674391672891</v>
      </c>
      <c r="D80" s="25" t="n">
        <v>0.4215475994060386</v>
      </c>
      <c r="E80" s="25" t="n">
        <v>0.346158853720543</v>
      </c>
      <c r="F80" s="25" t="n">
        <v>0.3321524261133534</v>
      </c>
      <c r="G80" s="25" t="n">
        <v>0.3798710366354526</v>
      </c>
      <c r="H80" s="25" t="n">
        <v>0.3291510487689556</v>
      </c>
    </row>
    <row r="81">
      <c r="A81" s="36" t="n">
        <v>44253</v>
      </c>
      <c r="B81" s="25" t="n">
        <v>0.3818915500316221</v>
      </c>
      <c r="C81" s="25" t="n">
        <v>0.3679676016815879</v>
      </c>
      <c r="D81" s="25" t="n">
        <v>0.4165177221107048</v>
      </c>
      <c r="E81" s="25" t="n">
        <v>0.3486588069223311</v>
      </c>
      <c r="F81" s="25" t="n">
        <v>0.3311508323996889</v>
      </c>
      <c r="G81" s="25" t="n">
        <v>0.376072038524593</v>
      </c>
      <c r="H81" s="25" t="n">
        <v>0.3301503767126808</v>
      </c>
    </row>
    <row r="82">
      <c r="A82" s="36" t="n">
        <v>44256</v>
      </c>
      <c r="B82" s="25" t="n">
        <v>0.3832650536156172</v>
      </c>
      <c r="C82" s="25" t="n">
        <v>0.3679638195086854</v>
      </c>
      <c r="D82" s="25" t="n">
        <v>0.4164833654110531</v>
      </c>
      <c r="E82" s="25" t="n">
        <v>0.3506561140233665</v>
      </c>
      <c r="F82" s="25" t="n">
        <v>0.332147874053517</v>
      </c>
      <c r="G82" s="25" t="n">
        <v>0.3776671914573208</v>
      </c>
      <c r="H82" s="25" t="n">
        <v>0.3302470277863432</v>
      </c>
    </row>
    <row r="83">
      <c r="A83" s="36" t="n">
        <v>44257</v>
      </c>
      <c r="B83" s="25" t="n">
        <v>0.3782367820516345</v>
      </c>
      <c r="C83" s="25" t="n">
        <v>0.3630603931188778</v>
      </c>
      <c r="D83" s="25" t="n">
        <v>0.411454180528443</v>
      </c>
      <c r="E83" s="25" t="n">
        <v>0.344652260759034</v>
      </c>
      <c r="F83" s="25" t="n">
        <v>0.3226425372853076</v>
      </c>
      <c r="G83" s="25" t="n">
        <v>0.3693710405536295</v>
      </c>
      <c r="H83" s="25" t="n">
        <v>0.3222423604948761</v>
      </c>
    </row>
    <row r="84">
      <c r="A84" s="36" t="n">
        <v>44258</v>
      </c>
      <c r="B84" s="25" t="n">
        <v>0.3763196964698119</v>
      </c>
      <c r="C84" s="25" t="n">
        <v>0.3623588422322114</v>
      </c>
      <c r="D84" s="25" t="n">
        <v>0.4089340701638623</v>
      </c>
      <c r="E84" s="25" t="n">
        <v>0.3356471329898037</v>
      </c>
      <c r="F84" s="25" t="n">
        <v>0.3205405109088916</v>
      </c>
      <c r="G84" s="25" t="n">
        <v>0.3697695272124908</v>
      </c>
      <c r="H84" s="25" t="n">
        <v>0.3186396776669225</v>
      </c>
    </row>
    <row r="85">
      <c r="A85" s="36" t="n">
        <v>44259</v>
      </c>
      <c r="B85" s="25" t="n">
        <v>0.3793198251450251</v>
      </c>
      <c r="C85" s="25" t="n">
        <v>0.3639582969305143</v>
      </c>
      <c r="D85" s="25" t="n">
        <v>0.405410606768757</v>
      </c>
      <c r="E85" s="25" t="n">
        <v>0.3381470708150462</v>
      </c>
      <c r="F85" s="25" t="n">
        <v>0.3231405440037276</v>
      </c>
      <c r="G85" s="25" t="n">
        <v>0.3695683869355849</v>
      </c>
      <c r="H85" s="25" t="n">
        <v>0.3257416753176895</v>
      </c>
    </row>
    <row r="86">
      <c r="A86" s="36" t="n">
        <v>44260</v>
      </c>
      <c r="B86" s="25" t="n">
        <v>0.3763993511849123</v>
      </c>
      <c r="C86" s="25" t="n">
        <v>0.3576543302932087</v>
      </c>
      <c r="D86" s="25" t="n">
        <v>0.3863336449112003</v>
      </c>
      <c r="E86" s="25" t="n">
        <v>0.335144617197832</v>
      </c>
      <c r="F86" s="25" t="n">
        <v>0.3227392642030465</v>
      </c>
      <c r="G86" s="25" t="n">
        <v>0.3605727897489253</v>
      </c>
      <c r="H86" s="25" t="n">
        <v>0.3166366308749666</v>
      </c>
    </row>
    <row r="87">
      <c r="A87" s="36" t="n">
        <v>44263</v>
      </c>
      <c r="B87" s="25" t="n">
        <v>0.3701473458504</v>
      </c>
      <c r="C87" s="25" t="n">
        <v>0.3571504435087383</v>
      </c>
      <c r="D87" s="25" t="n">
        <v>0.3993457404403881</v>
      </c>
      <c r="E87" s="25" t="n">
        <v>0.3306392761334397</v>
      </c>
      <c r="F87" s="25" t="n">
        <v>0.3201348513243593</v>
      </c>
      <c r="G87" s="25" t="n">
        <v>0.3605690876048558</v>
      </c>
      <c r="H87" s="25" t="n">
        <v>0.316633376387999</v>
      </c>
    </row>
    <row r="88">
      <c r="A88" s="36" t="n">
        <v>44264</v>
      </c>
      <c r="B88" s="25" t="n">
        <v>0.3637157072956183</v>
      </c>
      <c r="C88" s="25" t="n">
        <v>0.3515468791755459</v>
      </c>
      <c r="D88" s="25" t="n">
        <v>0.3842844576392325</v>
      </c>
      <c r="E88" s="25" t="n">
        <v>0.3261362624110073</v>
      </c>
      <c r="F88" s="25" t="n">
        <v>0.3199336709173011</v>
      </c>
      <c r="G88" s="25" t="n">
        <v>0.3523731296288691</v>
      </c>
      <c r="H88" s="25" t="n">
        <v>0.3053275683676057</v>
      </c>
    </row>
    <row r="89">
      <c r="A89" s="36" t="n">
        <v>44265</v>
      </c>
      <c r="B89" s="25" t="n">
        <v>0.3511641331537426</v>
      </c>
      <c r="C89" s="25" t="n">
        <v>0.3352389174966339</v>
      </c>
      <c r="D89" s="25" t="n">
        <v>0.3712306550482421</v>
      </c>
      <c r="E89" s="25" t="n">
        <v>0.3211330722662473</v>
      </c>
      <c r="F89" s="25" t="n">
        <v>0.3143302532898907</v>
      </c>
      <c r="G89" s="25" t="n">
        <v>0.3436775511740688</v>
      </c>
      <c r="H89" s="25" t="n">
        <v>0.2981235374932764</v>
      </c>
    </row>
    <row r="90">
      <c r="A90" s="36" t="n">
        <v>44266</v>
      </c>
      <c r="B90" s="25" t="n">
        <v>0.3506528312259484</v>
      </c>
      <c r="C90" s="25" t="n">
        <v>0.3352377689461422</v>
      </c>
      <c r="D90" s="25" t="n">
        <v>0.3732270478284772</v>
      </c>
      <c r="E90" s="25" t="n">
        <v>0.3206317664793751</v>
      </c>
      <c r="F90" s="25" t="n">
        <v>0.3151295052761409</v>
      </c>
      <c r="G90" s="25" t="n">
        <v>0.3462746842807762</v>
      </c>
      <c r="H90" s="25" t="n">
        <v>0.3027244072906674</v>
      </c>
    </row>
    <row r="91">
      <c r="A91" s="36" t="n">
        <v>44267</v>
      </c>
      <c r="B91" s="25" t="n">
        <v>0.3562615101289134</v>
      </c>
      <c r="C91" s="25" t="n">
        <v>0.344040208167027</v>
      </c>
      <c r="D91" s="25" t="n">
        <v>0.3792364146120227</v>
      </c>
      <c r="E91" s="25" t="n">
        <v>0.3276335218804924</v>
      </c>
      <c r="F91" s="25" t="n">
        <v>0.3251325026294963</v>
      </c>
      <c r="G91" s="25" t="n">
        <v>0.3528691848824912</v>
      </c>
      <c r="H91" s="25" t="n">
        <v>0.3051243486215273</v>
      </c>
    </row>
    <row r="92">
      <c r="A92" s="36" t="n">
        <v>44270</v>
      </c>
      <c r="B92" s="25" t="n">
        <v>0.3659630606860158</v>
      </c>
      <c r="C92" s="25" t="n">
        <v>0.3497389373860849</v>
      </c>
      <c r="D92" s="25" t="n">
        <v>0.388233839050132</v>
      </c>
      <c r="E92" s="25" t="n">
        <v>0.3366337312082882</v>
      </c>
      <c r="F92" s="25" t="n">
        <v>0.3346329363719834</v>
      </c>
      <c r="G92" s="25" t="n">
        <v>0.3592613126895146</v>
      </c>
      <c r="H92" s="25" t="n">
        <v>0.309623000918173</v>
      </c>
    </row>
    <row r="93">
      <c r="A93" s="36" t="n">
        <v>44271</v>
      </c>
      <c r="B93" s="25" t="n">
        <v>0.3676583757042737</v>
      </c>
      <c r="C93" s="25" t="n">
        <v>0.3541394727375508</v>
      </c>
      <c r="D93" s="25" t="n">
        <v>0.4011639411845541</v>
      </c>
      <c r="E93" s="25" t="n">
        <v>0.3426349418435343</v>
      </c>
      <c r="F93" s="25" t="n">
        <v>0.3350319475135756</v>
      </c>
      <c r="G93" s="25" t="n">
        <v>0.3627577473947193</v>
      </c>
      <c r="H93" s="25" t="n">
        <v>0.3130232797163267</v>
      </c>
    </row>
    <row r="94">
      <c r="A94" s="36" t="n">
        <v>44272</v>
      </c>
      <c r="B94" s="25" t="n">
        <v>0.3695542241521464</v>
      </c>
      <c r="C94" s="25" t="n">
        <v>0.358139821711216</v>
      </c>
      <c r="D94" s="25" t="n">
        <v>0.3997485296542627</v>
      </c>
      <c r="E94" s="25" t="n">
        <v>0.3406329868510308</v>
      </c>
      <c r="F94" s="25" t="n">
        <v>0.3376318151607134</v>
      </c>
      <c r="G94" s="25" t="n">
        <v>0.3685526153677668</v>
      </c>
      <c r="H94" s="25" t="n">
        <v>0.3167236523848352</v>
      </c>
    </row>
    <row r="95">
      <c r="A95" s="36" t="n">
        <v>44273</v>
      </c>
      <c r="B95" s="25" t="n">
        <v>0.368340341330695</v>
      </c>
      <c r="C95" s="25" t="n">
        <v>0.358338672157376</v>
      </c>
      <c r="D95" s="25" t="n">
        <v>0.3991356803253909</v>
      </c>
      <c r="E95" s="25" t="n">
        <v>0.3393313165711389</v>
      </c>
      <c r="F95" s="25" t="n">
        <v>0.3396314327119742</v>
      </c>
      <c r="G95" s="25" t="n">
        <v>0.3658531743994634</v>
      </c>
      <c r="H95" s="25" t="n">
        <v>0.3161223350132072</v>
      </c>
    </row>
    <row r="96">
      <c r="A96" s="36" t="n">
        <v>44274</v>
      </c>
      <c r="B96" s="25" t="n">
        <v>0.3711388369792239</v>
      </c>
      <c r="C96" s="25" t="n">
        <v>0.3593378282080798</v>
      </c>
      <c r="D96" s="25" t="n">
        <v>0.3972188633615478</v>
      </c>
      <c r="E96" s="25" t="n">
        <v>0.3446321876884285</v>
      </c>
      <c r="F96" s="25" t="n">
        <v>0.3426314202707888</v>
      </c>
      <c r="G96" s="25" t="n">
        <v>0.3692496184094347</v>
      </c>
      <c r="H96" s="25" t="n">
        <v>0.3217234007564545</v>
      </c>
    </row>
    <row r="97">
      <c r="A97" s="36" t="n">
        <v>44277</v>
      </c>
      <c r="B97" s="25" t="n">
        <v>0.3766247149020362</v>
      </c>
      <c r="C97" s="25" t="n">
        <v>0.3642359647950776</v>
      </c>
      <c r="D97" s="25" t="n">
        <v>0.4011980984309307</v>
      </c>
      <c r="E97" s="25" t="n">
        <v>0.3531318197546344</v>
      </c>
      <c r="F97" s="25" t="n">
        <v>0.3486301393328332</v>
      </c>
      <c r="G97" s="25" t="n">
        <v>0.3752417000626281</v>
      </c>
      <c r="H97" s="25" t="n">
        <v>0.3276222973644271</v>
      </c>
    </row>
    <row r="98">
      <c r="A98" s="36" t="n">
        <v>44278</v>
      </c>
      <c r="B98" s="25" t="n">
        <v>0.3736054627390635</v>
      </c>
      <c r="C98" s="25" t="n">
        <v>0.3601331999506667</v>
      </c>
      <c r="D98" s="25" t="n">
        <v>0.4011870740822159</v>
      </c>
      <c r="E98" s="25" t="n">
        <v>0.3533306839515986</v>
      </c>
      <c r="F98" s="25" t="n">
        <v>0.3526304249516944</v>
      </c>
      <c r="G98" s="25" t="n">
        <v>0.3705436649988706</v>
      </c>
      <c r="H98" s="25" t="n">
        <v>0.3275211379551341</v>
      </c>
    </row>
    <row r="99">
      <c r="A99" s="36" t="n">
        <v>44280</v>
      </c>
      <c r="B99" s="25" t="n">
        <v>0.3650601747540803</v>
      </c>
      <c r="C99" s="25" t="n">
        <v>0.3534282993141346</v>
      </c>
      <c r="D99" s="25" t="n">
        <v>0.3892303676430181</v>
      </c>
      <c r="E99" s="25" t="n">
        <v>0.3481263746428498</v>
      </c>
      <c r="F99" s="25" t="n">
        <v>0.3461256483517989</v>
      </c>
      <c r="G99" s="25" t="n">
        <v>0.3627465743110977</v>
      </c>
      <c r="H99" s="25" t="n">
        <v>0.3152144271550631</v>
      </c>
    </row>
    <row r="100">
      <c r="A100" s="36" t="n">
        <v>44281</v>
      </c>
      <c r="B100" s="25" t="n">
        <v>0.3660530292622613</v>
      </c>
      <c r="C100" s="25" t="n">
        <v>0.3533270525360147</v>
      </c>
      <c r="D100" s="25" t="n">
        <v>0.3921280395658744</v>
      </c>
      <c r="E100" s="25" t="n">
        <v>0.3475249661693418</v>
      </c>
      <c r="F100" s="25" t="n">
        <v>0.3436235632676133</v>
      </c>
      <c r="G100" s="25" t="n">
        <v>0.3618459643058812</v>
      </c>
      <c r="H100" s="25" t="n">
        <v>0.3121122321382689</v>
      </c>
    </row>
    <row r="101">
      <c r="A101" s="36" t="n">
        <v>44284</v>
      </c>
      <c r="B101" s="25" t="n">
        <v>0.3628138908731249</v>
      </c>
      <c r="C101" s="25" t="n">
        <v>0.346821149853716</v>
      </c>
      <c r="D101" s="25" t="n">
        <v>0.382167976262432</v>
      </c>
      <c r="E101" s="25" t="n">
        <v>0.3432198918800403</v>
      </c>
      <c r="F101" s="25" t="n">
        <v>0.3381181097506663</v>
      </c>
      <c r="G101" s="25" t="n">
        <v>0.3562462355582325</v>
      </c>
      <c r="H101" s="25" t="n">
        <v>0.3082076615804151</v>
      </c>
    </row>
    <row r="102">
      <c r="A102" s="36" t="n">
        <v>44285</v>
      </c>
      <c r="B102" s="25" t="n">
        <v>0.3589933789389818</v>
      </c>
      <c r="C102" s="25" t="n">
        <v>0.3430186468607292</v>
      </c>
      <c r="D102" s="25" t="n">
        <v>0.3820571993736092</v>
      </c>
      <c r="E102" s="25" t="n">
        <v>0.3401176434314609</v>
      </c>
      <c r="F102" s="25" t="n">
        <v>0.3391172974213683</v>
      </c>
      <c r="G102" s="25" t="n">
        <v>0.3506490217618212</v>
      </c>
      <c r="H102" s="25" t="n">
        <v>0.3070061904973981</v>
      </c>
    </row>
    <row r="103">
      <c r="A103" s="36" t="n">
        <v>44286</v>
      </c>
      <c r="B103" s="25" t="n">
        <v>0.360989010989011</v>
      </c>
      <c r="C103" s="25" t="n">
        <v>0.3406166495375128</v>
      </c>
      <c r="D103" s="25" t="n">
        <v>0.3895673076923077</v>
      </c>
      <c r="E103" s="25" t="n">
        <v>0.3391161356628982</v>
      </c>
      <c r="F103" s="25" t="n">
        <v>0.3356149366221308</v>
      </c>
      <c r="G103" s="25" t="n">
        <v>0.3498483967010027</v>
      </c>
      <c r="H103" s="25" t="n">
        <v>0.3050044535799931</v>
      </c>
    </row>
    <row r="104">
      <c r="A104" s="36" t="n">
        <v>44291</v>
      </c>
      <c r="B104" s="25" t="n">
        <v>0.3625436066474385</v>
      </c>
      <c r="C104" s="25" t="n">
        <v>0.3486134187492506</v>
      </c>
      <c r="D104" s="25" t="n">
        <v>0.389413542095866</v>
      </c>
      <c r="E104" s="25" t="n">
        <v>0.3391103269899454</v>
      </c>
      <c r="F104" s="25" t="n">
        <v>0.3326082115756839</v>
      </c>
      <c r="G104" s="25" t="n">
        <v>0.3532399089711343</v>
      </c>
      <c r="H104" s="25" t="n">
        <v>0.306099587194464</v>
      </c>
    </row>
    <row r="105">
      <c r="A105" s="36" t="n">
        <v>44292</v>
      </c>
      <c r="B105" s="25" t="n">
        <v>0.3599269351205845</v>
      </c>
      <c r="C105" s="25" t="n">
        <v>0.3464115160359842</v>
      </c>
      <c r="D105" s="25" t="n">
        <v>0.3879992308960062</v>
      </c>
      <c r="E105" s="25" t="n">
        <v>0.3371085212362884</v>
      </c>
      <c r="F105" s="25" t="n">
        <v>0.3301062670859797</v>
      </c>
      <c r="G105" s="25" t="n">
        <v>0.3537383305500041</v>
      </c>
      <c r="H105" s="25" t="n">
        <v>0.3050982165491631</v>
      </c>
    </row>
    <row r="106">
      <c r="A106" s="36" t="n">
        <v>44293</v>
      </c>
      <c r="B106" s="25" t="n">
        <v>0.3588142390199687</v>
      </c>
      <c r="C106" s="25" t="n">
        <v>0.3458101381604415</v>
      </c>
      <c r="D106" s="25" t="n">
        <v>0.3799681379954404</v>
      </c>
      <c r="E106" s="25" t="n">
        <v>0.3243032883760924</v>
      </c>
      <c r="F106" s="25" t="n">
        <v>0.3321057734141353</v>
      </c>
      <c r="G106" s="25" t="n">
        <v>0.352637936875678</v>
      </c>
      <c r="H106" s="25" t="n">
        <v>0.3036967253269021</v>
      </c>
    </row>
    <row r="107">
      <c r="A107" s="36" t="n">
        <v>44294</v>
      </c>
      <c r="B107" s="25" t="n">
        <v>0.3597066578773896</v>
      </c>
      <c r="C107" s="25" t="n">
        <v>0.3440083862038725</v>
      </c>
      <c r="D107" s="25" t="n">
        <v>0.3760478466271149</v>
      </c>
      <c r="E107" s="25" t="n">
        <v>0.3332049823917125</v>
      </c>
      <c r="F107" s="25" t="n">
        <v>0.331104320539348</v>
      </c>
      <c r="G107" s="25" t="n">
        <v>0.3535360586959052</v>
      </c>
      <c r="H107" s="25" t="n">
        <v>0.304095811008948</v>
      </c>
    </row>
    <row r="108">
      <c r="A108" s="36" t="n">
        <v>44295</v>
      </c>
      <c r="B108" s="25" t="n">
        <v>0.3570902798758548</v>
      </c>
      <c r="C108" s="25" t="n">
        <v>0.341906553069621</v>
      </c>
      <c r="D108" s="25" t="n">
        <v>0.3786440165893049</v>
      </c>
      <c r="E108" s="25" t="n">
        <v>0.3311031862669531</v>
      </c>
      <c r="F108" s="25" t="n">
        <v>0.3314032797892494</v>
      </c>
      <c r="G108" s="25" t="n">
        <v>0.3512365725705721</v>
      </c>
      <c r="H108" s="25" t="n">
        <v>0.3019941146042089</v>
      </c>
    </row>
    <row r="109">
      <c r="A109" s="36" t="n">
        <v>44298</v>
      </c>
      <c r="B109" s="25" t="n">
        <v>0.3633760848072064</v>
      </c>
      <c r="C109" s="25" t="n">
        <v>0.346604456137466</v>
      </c>
      <c r="D109" s="25" t="n">
        <v>0.3869328792705701</v>
      </c>
      <c r="E109" s="25" t="n">
        <v>0.3371015922606813</v>
      </c>
      <c r="F109" s="25" t="n">
        <v>0.3351009893392529</v>
      </c>
      <c r="G109" s="25" t="n">
        <v>0.3589271170548419</v>
      </c>
      <c r="H109" s="25" t="n">
        <v>0.3060922469785415</v>
      </c>
    </row>
    <row r="110">
      <c r="A110" s="36" t="n">
        <v>44299</v>
      </c>
      <c r="B110" s="25" t="n">
        <v>0.364869689396644</v>
      </c>
      <c r="C110" s="25" t="n">
        <v>0.3483037754399427</v>
      </c>
      <c r="D110" s="25" t="n">
        <v>0.3999533133770906</v>
      </c>
      <c r="E110" s="25" t="n">
        <v>0.3385008547067106</v>
      </c>
      <c r="F110" s="25" t="n">
        <v>0.3350998413910994</v>
      </c>
      <c r="G110" s="25" t="n">
        <v>0.3636223021459639</v>
      </c>
      <c r="H110" s="25" t="n">
        <v>0.3085919434900125</v>
      </c>
    </row>
    <row r="111">
      <c r="A111" s="36" t="n">
        <v>44300</v>
      </c>
      <c r="B111" s="25" t="n">
        <v>0.3645589608392376</v>
      </c>
      <c r="C111" s="25" t="n">
        <v>0.3458018457490905</v>
      </c>
      <c r="D111" s="25" t="n">
        <v>0.3929257977700885</v>
      </c>
      <c r="E111" s="25" t="n">
        <v>0.3365991353617846</v>
      </c>
      <c r="F111" s="25" t="n">
        <v>0.3348986345293476</v>
      </c>
      <c r="G111" s="25" t="n">
        <v>0.3607232807709155</v>
      </c>
      <c r="H111" s="25" t="n">
        <v>0.3072905033674301</v>
      </c>
    </row>
    <row r="112">
      <c r="A112" s="36" t="n">
        <v>44301</v>
      </c>
      <c r="B112" s="25" t="n">
        <v>0.3618426472607442</v>
      </c>
      <c r="C112" s="25" t="n">
        <v>0.3425997293732765</v>
      </c>
      <c r="D112" s="25" t="n">
        <v>0.3909103391459564</v>
      </c>
      <c r="E112" s="25" t="n">
        <v>0.3350975455183872</v>
      </c>
      <c r="F112" s="25" t="n">
        <v>0.3310963807957796</v>
      </c>
      <c r="G112" s="25" t="n">
        <v>0.3595229703139703</v>
      </c>
      <c r="H112" s="25" t="n">
        <v>0.3078896254046555</v>
      </c>
    </row>
    <row r="113">
      <c r="A113" s="36" t="n">
        <v>44302</v>
      </c>
      <c r="B113" s="25" t="n">
        <v>0.3628350175746925</v>
      </c>
      <c r="C113" s="25" t="n">
        <v>0.3420984118719084</v>
      </c>
      <c r="D113" s="25" t="n">
        <v>0.3899975285588752</v>
      </c>
      <c r="E113" s="25" t="n">
        <v>0.3360966853478398</v>
      </c>
      <c r="F113" s="25" t="n">
        <v>0.3315953904547884</v>
      </c>
      <c r="G113" s="25" t="n">
        <v>0.3637184918521966</v>
      </c>
      <c r="H113" s="25" t="n">
        <v>0.3100892037435427</v>
      </c>
    </row>
    <row r="114">
      <c r="A114" s="36" t="n">
        <v>44305</v>
      </c>
      <c r="B114" s="25" t="n">
        <v>0.362805129190807</v>
      </c>
      <c r="C114" s="25" t="n">
        <v>0.3437953678931484</v>
      </c>
      <c r="D114" s="25" t="n">
        <v>0.3939742991295753</v>
      </c>
      <c r="E114" s="25" t="n">
        <v>0.3350929538673399</v>
      </c>
      <c r="F114" s="25" t="n">
        <v>0.3315919827075319</v>
      </c>
      <c r="G114" s="25" t="n">
        <v>0.3646140526778657</v>
      </c>
      <c r="H114" s="25" t="n">
        <v>0.3080854620631066</v>
      </c>
    </row>
    <row r="115">
      <c r="A115" s="36" t="n">
        <v>44306</v>
      </c>
      <c r="B115" s="25" t="n">
        <v>0.3622940691927512</v>
      </c>
      <c r="C115" s="25" t="n">
        <v>0.3426938887366401</v>
      </c>
      <c r="D115" s="25" t="n">
        <v>0.3943643602416255</v>
      </c>
      <c r="E115" s="25" t="n">
        <v>0.336592217045766</v>
      </c>
      <c r="F115" s="25" t="n">
        <v>0.330090435735818</v>
      </c>
      <c r="G115" s="25" t="n">
        <v>0.3617150874311331</v>
      </c>
      <c r="H115" s="25" t="n">
        <v>0.3086845711153741</v>
      </c>
    </row>
    <row r="116">
      <c r="A116" s="36" t="n">
        <v>44307</v>
      </c>
      <c r="B116" s="25" t="n">
        <v>0.3647895444935614</v>
      </c>
      <c r="C116" s="25" t="n">
        <v>0.3435929583688738</v>
      </c>
      <c r="D116" s="25" t="n">
        <v>0.3908459405288158</v>
      </c>
      <c r="E116" s="25" t="n">
        <v>0.3380914699524871</v>
      </c>
      <c r="F116" s="25" t="n">
        <v>0.3300893049831975</v>
      </c>
      <c r="G116" s="25" t="n">
        <v>0.3660104506366539</v>
      </c>
      <c r="H116" s="25" t="n">
        <v>0.3095837572493928</v>
      </c>
    </row>
    <row r="117">
      <c r="A117" s="36" t="n">
        <v>44308</v>
      </c>
      <c r="B117" s="25" t="n">
        <v>0.3667838119817693</v>
      </c>
      <c r="C117" s="25" t="n">
        <v>0.3437918348051877</v>
      </c>
      <c r="D117" s="25" t="n">
        <v>0.3988523419911043</v>
      </c>
      <c r="E117" s="25" t="n">
        <v>0.342091380574263</v>
      </c>
      <c r="F117" s="25" t="n">
        <v>0.3345893766143011</v>
      </c>
      <c r="G117" s="25" t="n">
        <v>0.3667086424484656</v>
      </c>
      <c r="H117" s="25" t="n">
        <v>0.3116832578565507</v>
      </c>
    </row>
    <row r="118">
      <c r="A118" s="36" t="n">
        <v>44309</v>
      </c>
      <c r="B118" s="25" t="n">
        <v>0.3662726848419954</v>
      </c>
      <c r="C118" s="25" t="n">
        <v>0.3422902614730597</v>
      </c>
      <c r="D118" s="25" t="n">
        <v>0.3983403344040853</v>
      </c>
      <c r="E118" s="25" t="n">
        <v>0.3387893382844106</v>
      </c>
      <c r="F118" s="25" t="n">
        <v>0.3280865159648263</v>
      </c>
      <c r="G118" s="25" t="n">
        <v>0.3663077065218507</v>
      </c>
      <c r="H118" s="25" t="n">
        <v>0.3150830869784155</v>
      </c>
    </row>
    <row r="119">
      <c r="A119" s="36" t="n">
        <v>44312</v>
      </c>
      <c r="B119" s="25" t="n">
        <v>0.3691484104760336</v>
      </c>
      <c r="C119" s="25" t="n">
        <v>0.3487883915786877</v>
      </c>
      <c r="D119" s="25" t="n">
        <v>0.3958024488003075</v>
      </c>
      <c r="E119" s="25" t="n">
        <v>0.3375855525030316</v>
      </c>
      <c r="F119" s="25" t="n">
        <v>0.3280831443585018</v>
      </c>
      <c r="G119" s="25" t="n">
        <v>0.368202411749408</v>
      </c>
      <c r="H119" s="25" t="n">
        <v>0.3150798490028295</v>
      </c>
    </row>
    <row r="120">
      <c r="A120" s="36" t="n">
        <v>44313</v>
      </c>
      <c r="B120" s="25" t="n">
        <v>0.3705410821643286</v>
      </c>
      <c r="C120" s="25" t="n">
        <v>0.3525881470367592</v>
      </c>
      <c r="D120" s="25" t="n">
        <v>0.3947895791583166</v>
      </c>
      <c r="E120" s="25" t="n">
        <v>0.3390847711927982</v>
      </c>
      <c r="F120" s="25" t="n">
        <v>0.3295823955988997</v>
      </c>
      <c r="G120" s="25" t="n">
        <v>0.3710987999466187</v>
      </c>
      <c r="H120" s="25" t="n">
        <v>0.320580145036259</v>
      </c>
    </row>
    <row r="121">
      <c r="A121" s="36" t="n">
        <v>44314</v>
      </c>
      <c r="B121" s="25" t="n">
        <v>0.3732362468430878</v>
      </c>
      <c r="C121" s="25" t="n">
        <v>0.3535871858814502</v>
      </c>
      <c r="D121" s="25" t="n">
        <v>0.3932757768749314</v>
      </c>
      <c r="E121" s="25" t="n">
        <v>0.3430845962018031</v>
      </c>
      <c r="F121" s="25" t="n">
        <v>0.3315817598859992</v>
      </c>
      <c r="G121" s="25" t="n">
        <v>0.3692989960237889</v>
      </c>
      <c r="H121" s="25" t="n">
        <v>0.3220794168425091</v>
      </c>
    </row>
    <row r="122">
      <c r="A122" s="36" t="n">
        <v>44315</v>
      </c>
      <c r="B122" s="25" t="n">
        <v>0.3687172307776771</v>
      </c>
      <c r="C122" s="25" t="n">
        <v>0.3523856828201378</v>
      </c>
      <c r="D122" s="25" t="n">
        <v>0.3977737516813528</v>
      </c>
      <c r="E122" s="25" t="n">
        <v>0.3390824481295109</v>
      </c>
      <c r="F122" s="25" t="n">
        <v>0.3275796512165629</v>
      </c>
      <c r="G122" s="25" t="n">
        <v>0.3671994497654317</v>
      </c>
      <c r="H122" s="25" t="n">
        <v>0.3175772191183472</v>
      </c>
    </row>
    <row r="123">
      <c r="A123" s="36" t="n">
        <v>44316</v>
      </c>
      <c r="B123" s="25" t="n">
        <v>0.3692080702717541</v>
      </c>
      <c r="C123" s="25" t="n">
        <v>0.3516843078820265</v>
      </c>
      <c r="D123" s="25" t="n">
        <v>0.3907493823771617</v>
      </c>
      <c r="E123" s="25" t="n">
        <v>0.3406816702634193</v>
      </c>
      <c r="F123" s="25" t="n">
        <v>0.3295790086664612</v>
      </c>
      <c r="G123" s="25" t="n">
        <v>0.3717944155488639</v>
      </c>
      <c r="H123" s="25" t="n">
        <v>0.3200767307231185</v>
      </c>
    </row>
    <row r="124">
      <c r="A124" s="36" t="n">
        <v>44319</v>
      </c>
      <c r="B124" s="25" t="n">
        <v>0.368376197403453</v>
      </c>
      <c r="C124" s="25" t="n">
        <v>0.3518807397587803</v>
      </c>
      <c r="D124" s="25" t="n">
        <v>0.3963275052836714</v>
      </c>
      <c r="E124" s="25" t="n">
        <v>0.3365772283366389</v>
      </c>
      <c r="F124" s="25" t="n">
        <v>0.3255747037847725</v>
      </c>
      <c r="G124" s="25" t="n">
        <v>0.3703917630191313</v>
      </c>
      <c r="H124" s="25" t="n">
        <v>0.3200734415088394</v>
      </c>
    </row>
    <row r="125">
      <c r="A125" s="36" t="n">
        <v>44320</v>
      </c>
      <c r="B125" s="25" t="n">
        <v>0.3681657243234341</v>
      </c>
      <c r="C125" s="25" t="n">
        <v>0.3512793987682147</v>
      </c>
      <c r="D125" s="25" t="n">
        <v>0.3667631882307735</v>
      </c>
      <c r="E125" s="25" t="n">
        <v>0.336576075414306</v>
      </c>
      <c r="F125" s="25" t="n">
        <v>0.328374221570629</v>
      </c>
      <c r="G125" s="25" t="n">
        <v>0.3701906625970079</v>
      </c>
      <c r="H125" s="25" t="n">
        <v>0.320172367726952</v>
      </c>
    </row>
    <row r="126">
      <c r="A126" s="36" t="n">
        <v>44321</v>
      </c>
      <c r="B126" s="25" t="n">
        <v>0.3666529435981886</v>
      </c>
      <c r="C126" s="25" t="n">
        <v>0.3504780173668796</v>
      </c>
      <c r="D126" s="25" t="n">
        <v>0.3881912995745849</v>
      </c>
      <c r="E126" s="25" t="n">
        <v>0.3387754123349375</v>
      </c>
      <c r="F126" s="25" t="n">
        <v>0.3280730299552982</v>
      </c>
      <c r="G126" s="25" t="n">
        <v>0.3678913240602919</v>
      </c>
      <c r="H126" s="25" t="n">
        <v>0.3180708034322709</v>
      </c>
    </row>
    <row r="127">
      <c r="A127" s="36" t="n">
        <v>44322</v>
      </c>
      <c r="B127" s="25" t="n">
        <v>0.3660418267647382</v>
      </c>
      <c r="C127" s="25" t="n">
        <v>0.3477762249260112</v>
      </c>
      <c r="D127" s="25" t="n">
        <v>0.392688549785926</v>
      </c>
      <c r="E127" s="25" t="n">
        <v>0.3352734845993643</v>
      </c>
      <c r="F127" s="25" t="n">
        <v>0.3249712265702072</v>
      </c>
      <c r="G127" s="25" t="n">
        <v>0.3649925063131745</v>
      </c>
      <c r="H127" s="25" t="n">
        <v>0.3156691877671818</v>
      </c>
    </row>
    <row r="128">
      <c r="A128" s="36" t="n">
        <v>44323</v>
      </c>
      <c r="B128" s="25" t="n">
        <v>0.3636276312539451</v>
      </c>
      <c r="C128" s="25" t="n">
        <v>0.3430740193945954</v>
      </c>
      <c r="D128" s="25" t="n">
        <v>0.3886708565469166</v>
      </c>
      <c r="E128" s="25" t="n">
        <v>0.3345721850947294</v>
      </c>
      <c r="F128" s="25" t="n">
        <v>0.3230697033949105</v>
      </c>
      <c r="G128" s="25" t="n">
        <v>0.3628930322638043</v>
      </c>
      <c r="H128" s="25" t="n">
        <v>0.3135676532950603</v>
      </c>
    </row>
    <row r="129">
      <c r="A129" s="36" t="n">
        <v>44326</v>
      </c>
      <c r="B129" s="25" t="n">
        <v>0.3645993413830955</v>
      </c>
      <c r="C129" s="25" t="n">
        <v>0.3440706994587929</v>
      </c>
      <c r="D129" s="25" t="n">
        <v>0.3956503841931943</v>
      </c>
      <c r="E129" s="25" t="n">
        <v>0.3354689319723231</v>
      </c>
      <c r="F129" s="25" t="n">
        <v>0.3225662807426183</v>
      </c>
      <c r="G129" s="25" t="n">
        <v>0.3644879384088965</v>
      </c>
      <c r="H129" s="25" t="n">
        <v>0.3140645338083168</v>
      </c>
    </row>
    <row r="130">
      <c r="A130" s="36" t="n">
        <v>44327</v>
      </c>
      <c r="B130" s="25" t="n">
        <v>0.3604826980598776</v>
      </c>
      <c r="C130" s="25" t="n">
        <v>0.3382683487416978</v>
      </c>
      <c r="D130" s="25" t="n">
        <v>0.3888285173293817</v>
      </c>
      <c r="E130" s="25" t="n">
        <v>0.3315669947009841</v>
      </c>
      <c r="F130" s="25" t="n">
        <v>0.3200646706012516</v>
      </c>
      <c r="G130" s="25" t="n">
        <v>0.3586916725691272</v>
      </c>
      <c r="H130" s="25" t="n">
        <v>0.3101626698545254</v>
      </c>
    </row>
    <row r="131">
      <c r="A131" s="36" t="n">
        <v>44328</v>
      </c>
      <c r="B131" s="25" t="n">
        <v>0.3636778991273805</v>
      </c>
      <c r="C131" s="25" t="n">
        <v>0.3411677662001356</v>
      </c>
      <c r="D131" s="25" t="n">
        <v>0.3925237363481697</v>
      </c>
      <c r="E131" s="25" t="n">
        <v>0.3340663556459845</v>
      </c>
      <c r="F131" s="25" t="n">
        <v>0.3225640709455988</v>
      </c>
      <c r="G131" s="25" t="n">
        <v>0.3636861338844559</v>
      </c>
      <c r="H131" s="25" t="n">
        <v>0.3132622233183304</v>
      </c>
    </row>
    <row r="132">
      <c r="A132" s="36" t="n">
        <v>44329</v>
      </c>
      <c r="B132" s="25" t="n">
        <v>0.3650701094860467</v>
      </c>
      <c r="C132" s="25" t="n">
        <v>0.3422668123572067</v>
      </c>
      <c r="D132" s="25" t="n">
        <v>0.387705457838268</v>
      </c>
      <c r="E132" s="25" t="n">
        <v>0.3353654651764215</v>
      </c>
      <c r="F132" s="25" t="n">
        <v>0.3221628879610061</v>
      </c>
      <c r="G132" s="25" t="n">
        <v>0.3641844566180673</v>
      </c>
      <c r="H132" s="25" t="n">
        <v>0.3120609160007262</v>
      </c>
    </row>
    <row r="133">
      <c r="A133" s="36" t="n">
        <v>44330</v>
      </c>
      <c r="B133" s="25" t="n">
        <v>0.3747749972560641</v>
      </c>
      <c r="C133" s="25" t="n">
        <v>0.3509673087989478</v>
      </c>
      <c r="D133" s="25" t="n">
        <v>0.3956069586214466</v>
      </c>
      <c r="E133" s="25" t="n">
        <v>0.3450661770750555</v>
      </c>
      <c r="F133" s="25" t="n">
        <v>0.330563395719727</v>
      </c>
      <c r="G133" s="25" t="n">
        <v>0.3741745194248839</v>
      </c>
      <c r="H133" s="25" t="n">
        <v>0.324562244814074</v>
      </c>
    </row>
    <row r="134">
      <c r="A134" s="36" t="n">
        <v>44333</v>
      </c>
      <c r="B134" s="25" t="n">
        <v>0.381053310286169</v>
      </c>
      <c r="C134" s="25" t="n">
        <v>0.3570648097086115</v>
      </c>
      <c r="D134" s="25" t="n">
        <v>0.4075918456937471</v>
      </c>
      <c r="E134" s="25" t="n">
        <v>0.3520639020096114</v>
      </c>
      <c r="F134" s="25" t="n">
        <v>0.3379613422984309</v>
      </c>
      <c r="G134" s="25" t="n">
        <v>0.3834625004704764</v>
      </c>
      <c r="H134" s="25" t="n">
        <v>0.3290597265942106</v>
      </c>
    </row>
    <row r="135">
      <c r="A135" s="36" t="n">
        <v>44334</v>
      </c>
      <c r="B135" s="25" t="n">
        <v>0.3805421422300264</v>
      </c>
      <c r="C135" s="25" t="n">
        <v>0.3570635866661186</v>
      </c>
      <c r="D135" s="25" t="n">
        <v>0.4030742427568042</v>
      </c>
      <c r="E135" s="25" t="n">
        <v>0.3550632304382972</v>
      </c>
      <c r="F135" s="25" t="n">
        <v>0.3350596681600833</v>
      </c>
      <c r="G135" s="25" t="n">
        <v>0.3834611884020284</v>
      </c>
      <c r="H135" s="25" t="n">
        <v>0.3290585994766191</v>
      </c>
    </row>
    <row r="136">
      <c r="A136" s="36" t="n">
        <v>44335</v>
      </c>
      <c r="B136" s="25" t="n">
        <v>0.3750240061455733</v>
      </c>
      <c r="C136" s="25" t="n">
        <v>0.3507612630973218</v>
      </c>
      <c r="D136" s="25" t="n">
        <v>0.4015610853521359</v>
      </c>
      <c r="E136" s="25" t="n">
        <v>0.3515614028477577</v>
      </c>
      <c r="F136" s="25" t="n">
        <v>0.3360586951830628</v>
      </c>
      <c r="G136" s="25" t="n">
        <v>0.3786641301037778</v>
      </c>
      <c r="H136" s="25" t="n">
        <v>0.329057472366749</v>
      </c>
    </row>
    <row r="137">
      <c r="A137" s="36" t="n">
        <v>44336</v>
      </c>
      <c r="B137" s="25" t="n">
        <v>0.3734115226337448</v>
      </c>
      <c r="C137" s="25" t="n">
        <v>0.3478595649940058</v>
      </c>
      <c r="D137" s="25" t="n">
        <v>0.4035528120713305</v>
      </c>
      <c r="E137" s="25" t="n">
        <v>0.3525603699263573</v>
      </c>
      <c r="F137" s="25" t="n">
        <v>0.3300565165268025</v>
      </c>
      <c r="G137" s="25" t="n">
        <v>0.3795620338055157</v>
      </c>
      <c r="H137" s="25" t="n">
        <v>0.3280561740023976</v>
      </c>
    </row>
    <row r="138">
      <c r="A138" s="36" t="n">
        <v>44337</v>
      </c>
      <c r="B138" s="25" t="n">
        <v>0.36979643905517</v>
      </c>
      <c r="C138" s="25" t="n">
        <v>0.3440577357159249</v>
      </c>
      <c r="D138" s="25" t="n">
        <v>0.403541740967326</v>
      </c>
      <c r="E138" s="25" t="n">
        <v>0.3507588602196944</v>
      </c>
      <c r="F138" s="25" t="n">
        <v>0.3336559902175365</v>
      </c>
      <c r="G138" s="25" t="n">
        <v>0.3746651109795696</v>
      </c>
      <c r="H138" s="25" t="n">
        <v>0.3225541272336796</v>
      </c>
    </row>
    <row r="139">
      <c r="A139" s="36" t="n">
        <v>44342</v>
      </c>
      <c r="B139" s="25" t="n">
        <v>0.3781558591178407</v>
      </c>
      <c r="C139" s="25" t="n">
        <v>0.354553425858691</v>
      </c>
      <c r="D139" s="25" t="n">
        <v>0.4064900153609831</v>
      </c>
      <c r="E139" s="25" t="n">
        <v>0.3665552343503816</v>
      </c>
      <c r="F139" s="25" t="n">
        <v>0.3470522955513845</v>
      </c>
      <c r="G139" s="25" t="n">
        <v>0.3871473246973647</v>
      </c>
      <c r="H139" s="25" t="n">
        <v>0.3345504117058735</v>
      </c>
    </row>
    <row r="140">
      <c r="A140" s="36" t="n">
        <v>44343</v>
      </c>
      <c r="B140" s="25" t="n">
        <v>0.3814493787201361</v>
      </c>
      <c r="C140" s="25" t="n">
        <v>0.3566525207479183</v>
      </c>
      <c r="D140" s="25" t="n">
        <v>0.4104835833996215</v>
      </c>
      <c r="E140" s="25" t="n">
        <v>0.3665539788393496</v>
      </c>
      <c r="F140" s="25" t="n">
        <v>0.352551916891871</v>
      </c>
      <c r="G140" s="25" t="n">
        <v>0.3867463654808788</v>
      </c>
      <c r="H140" s="25" t="n">
        <v>0.3380497813034111</v>
      </c>
    </row>
    <row r="141">
      <c r="A141" s="36" t="n">
        <v>44344</v>
      </c>
      <c r="B141" s="25" t="n">
        <v>0.3768336167644961</v>
      </c>
      <c r="C141" s="25" t="n">
        <v>0.353550853204913</v>
      </c>
      <c r="D141" s="25" t="n">
        <v>0.4005609194141204</v>
      </c>
      <c r="E141" s="25" t="n">
        <v>0.3632522486111016</v>
      </c>
      <c r="F141" s="25" t="n">
        <v>0.3460497742826023</v>
      </c>
      <c r="G141" s="25" t="n">
        <v>0.3851465093681142</v>
      </c>
      <c r="H141" s="25" t="n">
        <v>0.3350481918632132</v>
      </c>
    </row>
    <row r="142">
      <c r="A142" s="36" t="n">
        <v>44347</v>
      </c>
      <c r="B142" s="25" t="n">
        <v>0.3764021831546036</v>
      </c>
      <c r="C142" s="25" t="n">
        <v>0.3530471535581807</v>
      </c>
      <c r="D142" s="25" t="n">
        <v>0.4054332026000384</v>
      </c>
      <c r="E142" s="25" t="n">
        <v>0.3625484225632876</v>
      </c>
      <c r="F142" s="25" t="n">
        <v>0.3440459513428163</v>
      </c>
      <c r="G142" s="25" t="n">
        <v>0.3854422778859346</v>
      </c>
      <c r="H142" s="25" t="n">
        <v>0.334044615547967</v>
      </c>
    </row>
    <row r="143">
      <c r="A143" s="36" t="n">
        <v>44348</v>
      </c>
      <c r="B143" s="25" t="n">
        <v>0.3788944654709012</v>
      </c>
      <c r="C143" s="25" t="n">
        <v>0.3560463347969942</v>
      </c>
      <c r="D143" s="25" t="n">
        <v>0.4084252098074708</v>
      </c>
      <c r="E143" s="25" t="n">
        <v>0.3680478966440838</v>
      </c>
      <c r="F143" s="25" t="n">
        <v>0.3490454237195251</v>
      </c>
      <c r="G143" s="25" t="n">
        <v>0.3876389116986916</v>
      </c>
      <c r="H143" s="25" t="n">
        <v>0.3371438748878279</v>
      </c>
    </row>
    <row r="144">
      <c r="A144" s="36" t="n">
        <v>44349</v>
      </c>
      <c r="B144" s="25" t="n">
        <v>0.3838891479033541</v>
      </c>
      <c r="C144" s="25" t="n">
        <v>0.3630460024044142</v>
      </c>
      <c r="D144" s="25" t="n">
        <v>0.4194251707210048</v>
      </c>
      <c r="E144" s="25" t="n">
        <v>0.3760476498734429</v>
      </c>
      <c r="F144" s="25" t="n">
        <v>0.3536448111575782</v>
      </c>
      <c r="G144" s="25" t="n">
        <v>0.3947309535947556</v>
      </c>
      <c r="H144" s="25" t="n">
        <v>0.3420433411082912</v>
      </c>
    </row>
    <row r="145">
      <c r="A145" s="36" t="n">
        <v>44350</v>
      </c>
      <c r="B145" s="25" t="n">
        <v>0.3823771390960948</v>
      </c>
      <c r="C145" s="25" t="n">
        <v>0.360544450685701</v>
      </c>
      <c r="D145" s="25" t="n">
        <v>0.4184126810004388</v>
      </c>
      <c r="E145" s="25" t="n">
        <v>0.3696455727418449</v>
      </c>
      <c r="F145" s="25" t="n">
        <v>0.3450425394911701</v>
      </c>
      <c r="G145" s="25" t="n">
        <v>0.3882356966408234</v>
      </c>
      <c r="H145" s="25" t="n">
        <v>0.3327410228658328</v>
      </c>
    </row>
    <row r="146">
      <c r="A146" s="36" t="n">
        <v>44351</v>
      </c>
      <c r="B146" s="25" t="n">
        <v>0.3808652132181544</v>
      </c>
      <c r="C146" s="25" t="n">
        <v>0.3585429760416489</v>
      </c>
      <c r="D146" s="25" t="n">
        <v>0.4177005347593583</v>
      </c>
      <c r="E146" s="25" t="n">
        <v>0.3701443666192865</v>
      </c>
      <c r="F146" s="25" t="n">
        <v>0.3461414895621051</v>
      </c>
      <c r="G146" s="25" t="n">
        <v>0.3908319219912753</v>
      </c>
      <c r="H146" s="25" t="n">
        <v>0.3354402068741116</v>
      </c>
    </row>
    <row r="147">
      <c r="A147" s="36" t="n">
        <v>44354</v>
      </c>
      <c r="B147" s="25" t="n">
        <v>0.3820349347373039</v>
      </c>
      <c r="C147" s="25" t="n">
        <v>0.3650400043840421</v>
      </c>
      <c r="D147" s="25" t="n">
        <v>0.423871613469343</v>
      </c>
      <c r="E147" s="25" t="n">
        <v>0.3730408811924594</v>
      </c>
      <c r="F147" s="25" t="n">
        <v>0.3535387439719421</v>
      </c>
      <c r="G147" s="25" t="n">
        <v>0.3949240107021398</v>
      </c>
      <c r="H147" s="25" t="n">
        <v>0.3380370451556335</v>
      </c>
    </row>
    <row r="148">
      <c r="A148" s="36" t="n">
        <v>44355</v>
      </c>
      <c r="B148" s="25" t="n">
        <v>0.3878293893443747</v>
      </c>
      <c r="C148" s="25" t="n">
        <v>0.370239306227716</v>
      </c>
      <c r="D148" s="25" t="n">
        <v>0.42536126573254</v>
      </c>
      <c r="E148" s="25" t="n">
        <v>0.3755398689586908</v>
      </c>
      <c r="F148" s="25" t="n">
        <v>0.3590381170603728</v>
      </c>
      <c r="G148" s="25" t="n">
        <v>0.3992185548739389</v>
      </c>
      <c r="H148" s="25" t="n">
        <v>0.3409361952810059</v>
      </c>
    </row>
    <row r="149">
      <c r="A149" s="36" t="n">
        <v>44356</v>
      </c>
      <c r="B149" s="25" t="n">
        <v>0.3933232794077324</v>
      </c>
      <c r="C149" s="25" t="n">
        <v>0.3765386854813851</v>
      </c>
      <c r="D149" s="25" t="n">
        <v>0.4403619413216342</v>
      </c>
      <c r="E149" s="25" t="n">
        <v>0.3815391992327979</v>
      </c>
      <c r="F149" s="25" t="n">
        <v>0.364037401102853</v>
      </c>
      <c r="G149" s="25" t="n">
        <v>0.4043123032708362</v>
      </c>
      <c r="H149" s="25" t="n">
        <v>0.3474356954481625</v>
      </c>
    </row>
    <row r="150">
      <c r="A150" s="36" t="n">
        <v>44357</v>
      </c>
      <c r="B150" s="25" t="n">
        <v>0.3953140851635546</v>
      </c>
      <c r="C150" s="25" t="n">
        <v>0.3797377136770432</v>
      </c>
      <c r="D150" s="25" t="n">
        <v>0.4403498670176305</v>
      </c>
      <c r="E150" s="25" t="n">
        <v>0.3833380712468019</v>
      </c>
      <c r="F150" s="25" t="n">
        <v>0.3700367502251936</v>
      </c>
      <c r="G150" s="25" t="n">
        <v>0.4042110161112081</v>
      </c>
      <c r="H150" s="25" t="n">
        <v>0.3505348133890009</v>
      </c>
    </row>
    <row r="151">
      <c r="A151" s="36" t="n">
        <v>44358</v>
      </c>
      <c r="B151" s="25" t="n">
        <v>0.399306317174819</v>
      </c>
      <c r="C151" s="25" t="n">
        <v>0.3830367295494088</v>
      </c>
      <c r="D151" s="25" t="n">
        <v>0.4493447027856986</v>
      </c>
      <c r="E151" s="25" t="n">
        <v>0.3866370747879934</v>
      </c>
      <c r="F151" s="25" t="n">
        <v>0.377036154151768</v>
      </c>
      <c r="G151" s="25" t="n">
        <v>0.405608282412191</v>
      </c>
      <c r="H151" s="25" t="n">
        <v>0.3515337087117943</v>
      </c>
    </row>
    <row r="152">
      <c r="A152" s="36" t="n">
        <v>44361</v>
      </c>
      <c r="B152" s="25" t="n">
        <v>0.3987731322823852</v>
      </c>
      <c r="C152" s="25" t="n">
        <v>0.3830327939035876</v>
      </c>
      <c r="D152" s="25" t="n">
        <v>0.4528101439342015</v>
      </c>
      <c r="E152" s="25" t="n">
        <v>0.3870331363986643</v>
      </c>
      <c r="F152" s="25" t="n">
        <v>0.3800325370322802</v>
      </c>
      <c r="G152" s="25" t="n">
        <v>0.4058039242520143</v>
      </c>
      <c r="H152" s="25" t="n">
        <v>0.3509300453805977</v>
      </c>
    </row>
    <row r="153">
      <c r="A153" s="36" t="n">
        <v>44362</v>
      </c>
      <c r="B153" s="25" t="n">
        <v>0.3972612128522864</v>
      </c>
      <c r="C153" s="25" t="n">
        <v>0.3806312847631312</v>
      </c>
      <c r="D153" s="25" t="n">
        <v>0.4402895054282268</v>
      </c>
      <c r="E153" s="25" t="n">
        <v>0.3825314409403512</v>
      </c>
      <c r="F153" s="25" t="n">
        <v>0.3828314655999123</v>
      </c>
      <c r="G153" s="25" t="n">
        <v>0.4029053735040337</v>
      </c>
      <c r="H153" s="25" t="n">
        <v>0.3473285475518536</v>
      </c>
    </row>
    <row r="154">
      <c r="A154" s="36" t="n">
        <v>44363</v>
      </c>
      <c r="B154" s="25" t="n">
        <v>0.3951489979987389</v>
      </c>
      <c r="C154" s="25" t="n">
        <v>0.3796299023553225</v>
      </c>
      <c r="D154" s="25" t="n">
        <v>0.4352742824245415</v>
      </c>
      <c r="E154" s="25" t="n">
        <v>0.3854303592406251</v>
      </c>
      <c r="F154" s="25" t="n">
        <v>0.3720293036780294</v>
      </c>
      <c r="G154" s="25" t="n">
        <v>0.4004064498250007</v>
      </c>
      <c r="H154" s="25" t="n">
        <v>0.3444271295341756</v>
      </c>
    </row>
    <row r="155">
      <c r="A155" s="36" t="n">
        <v>44364</v>
      </c>
      <c r="B155" s="25" t="n">
        <v>0.3934371401940896</v>
      </c>
      <c r="C155" s="25" t="n">
        <v>0.3753282781579434</v>
      </c>
      <c r="D155" s="25" t="n">
        <v>0.4312599374965733</v>
      </c>
      <c r="E155" s="25" t="n">
        <v>0.3798286172245854</v>
      </c>
      <c r="F155" s="25" t="n">
        <v>0.3700278788127873</v>
      </c>
      <c r="G155" s="25" t="n">
        <v>0.3964090212393256</v>
      </c>
      <c r="H155" s="25" t="n">
        <v>0.341425723855907</v>
      </c>
    </row>
    <row r="156">
      <c r="A156" s="36" t="n">
        <v>44365</v>
      </c>
      <c r="B156" s="25" t="n">
        <v>0.3923257216480715</v>
      </c>
      <c r="C156" s="25" t="n">
        <v>0.3730268272718243</v>
      </c>
      <c r="D156" s="25" t="n">
        <v>0.4322486910277146</v>
      </c>
      <c r="E156" s="25" t="n">
        <v>0.3790272588097089</v>
      </c>
      <c r="F156" s="25" t="n">
        <v>0.3690265395799013</v>
      </c>
      <c r="G156" s="25" t="n">
        <v>0.3967073683922419</v>
      </c>
      <c r="H156" s="25" t="n">
        <v>0.3381243171597957</v>
      </c>
    </row>
    <row r="157">
      <c r="A157" s="36" t="n">
        <v>44369</v>
      </c>
      <c r="B157" s="25" t="n">
        <v>0.3861798645944687</v>
      </c>
      <c r="C157" s="25" t="n">
        <v>0.3665213385710812</v>
      </c>
      <c r="D157" s="25" t="n">
        <v>0.4216964065455143</v>
      </c>
      <c r="E157" s="25" t="n">
        <v>0.3732217286622851</v>
      </c>
      <c r="F157" s="25" t="n">
        <v>0.3620210765695263</v>
      </c>
      <c r="G157" s="25" t="n">
        <v>0.3871115627127574</v>
      </c>
      <c r="H157" s="25" t="n">
        <v>0.3335194172263454</v>
      </c>
    </row>
    <row r="158">
      <c r="A158" s="36" t="n">
        <v>44370</v>
      </c>
      <c r="B158" s="25" t="n">
        <v>0.3856690604100427</v>
      </c>
      <c r="C158" s="25" t="n">
        <v>0.3654200230149597</v>
      </c>
      <c r="D158" s="25" t="n">
        <v>0.4161824361363886</v>
      </c>
      <c r="E158" s="25" t="n">
        <v>0.3735204668748973</v>
      </c>
      <c r="F158" s="25" t="n">
        <v>0.3600197271083347</v>
      </c>
      <c r="G158" s="25" t="n">
        <v>0.3888085283994882</v>
      </c>
      <c r="H158" s="25" t="n">
        <v>0.3330182475752096</v>
      </c>
    </row>
    <row r="159">
      <c r="A159" s="36" t="n">
        <v>44371</v>
      </c>
      <c r="B159" s="25" t="n">
        <v>0.3817568863916678</v>
      </c>
      <c r="C159" s="25" t="n">
        <v>0.3600184941007243</v>
      </c>
      <c r="D159" s="25" t="n">
        <v>0.4071673290393313</v>
      </c>
      <c r="E159" s="25" t="n">
        <v>0.3711190643354967</v>
      </c>
      <c r="F159" s="25" t="n">
        <v>0.3575183656694693</v>
      </c>
      <c r="G159" s="25" t="n">
        <v>0.3841119417027319</v>
      </c>
      <c r="H159" s="25" t="n">
        <v>0.329516927239413</v>
      </c>
    </row>
    <row r="160">
      <c r="A160" s="36" t="n">
        <v>44372</v>
      </c>
      <c r="B160" s="25" t="n">
        <v>0.3746436989530231</v>
      </c>
      <c r="C160" s="25" t="n">
        <v>0.3499167768317659</v>
      </c>
      <c r="D160" s="25" t="n">
        <v>0.4001534835279285</v>
      </c>
      <c r="E160" s="25" t="n">
        <v>0.3620173569965683</v>
      </c>
      <c r="F160" s="25" t="n">
        <v>0.3475166617577555</v>
      </c>
      <c r="G160" s="25" t="n">
        <v>0.3747201467006048</v>
      </c>
      <c r="H160" s="25" t="n">
        <v>0.320615371969889</v>
      </c>
    </row>
    <row r="161">
      <c r="A161" s="36" t="n">
        <v>44375</v>
      </c>
      <c r="B161" s="25" t="n">
        <v>0.3725122639699636</v>
      </c>
      <c r="C161" s="25" t="n">
        <v>0.3485131289192401</v>
      </c>
      <c r="D161" s="25" t="n">
        <v>0.4051220915892461</v>
      </c>
      <c r="E161" s="25" t="n">
        <v>0.3600135621547387</v>
      </c>
      <c r="F161" s="25" t="n">
        <v>0.3450129970649579</v>
      </c>
      <c r="G161" s="25" t="n">
        <v>0.3749160961891762</v>
      </c>
      <c r="H161" s="25" t="n">
        <v>0.3200120552486566</v>
      </c>
    </row>
    <row r="162">
      <c r="A162" s="36" t="n">
        <v>44376</v>
      </c>
      <c r="B162" s="25" t="n">
        <v>0.3673006303096739</v>
      </c>
      <c r="C162" s="25" t="n">
        <v>0.3415116956060139</v>
      </c>
      <c r="D162" s="25" t="n">
        <v>0.3951082488352973</v>
      </c>
      <c r="E162" s="25" t="n">
        <v>0.3535121065789925</v>
      </c>
      <c r="F162" s="25" t="n">
        <v>0.3410116784821398</v>
      </c>
      <c r="G162" s="25" t="n">
        <v>0.373616147793363</v>
      </c>
      <c r="H162" s="25" t="n">
        <v>0.3140107537929381</v>
      </c>
    </row>
    <row r="163">
      <c r="A163" s="36" t="n">
        <v>44377</v>
      </c>
      <c r="B163" s="25" t="n">
        <v>0.3636896769066345</v>
      </c>
      <c r="C163" s="25" t="n">
        <v>0.3393104581990541</v>
      </c>
      <c r="D163" s="25" t="n">
        <v>0.3955975446000383</v>
      </c>
      <c r="E163" s="25" t="n">
        <v>0.3501107910860266</v>
      </c>
      <c r="F163" s="25" t="n">
        <v>0.3390104489521937</v>
      </c>
      <c r="G163" s="25" t="n">
        <v>0.375512913058799</v>
      </c>
      <c r="H163" s="25" t="n">
        <v>0.3130096475576302</v>
      </c>
    </row>
    <row r="164">
      <c r="A164" s="36" t="n">
        <v>44378</v>
      </c>
      <c r="B164" s="25" t="n">
        <v>0.3625794694727612</v>
      </c>
      <c r="C164" s="25" t="n">
        <v>0.3380092605276857</v>
      </c>
      <c r="D164" s="25" t="n">
        <v>0.400087690452702</v>
      </c>
      <c r="E164" s="25" t="n">
        <v>0.3525096577988438</v>
      </c>
      <c r="F164" s="25" t="n">
        <v>0.3435094112167457</v>
      </c>
      <c r="G164" s="25" t="n">
        <v>0.3750121449733494</v>
      </c>
      <c r="H164" s="25" t="n">
        <v>0.3135085892764186</v>
      </c>
    </row>
    <row r="165">
      <c r="A165" s="36" t="n">
        <v>44379</v>
      </c>
      <c r="B165" s="25" t="n">
        <v>0.3650700134272326</v>
      </c>
      <c r="C165" s="25" t="n">
        <v>0.3406081652642358</v>
      </c>
      <c r="D165" s="25" t="n">
        <v>0.3970761515907161</v>
      </c>
      <c r="E165" s="25" t="n">
        <v>0.357308565616299</v>
      </c>
      <c r="F165" s="25" t="n">
        <v>0.3475083306791601</v>
      </c>
      <c r="G165" s="25" t="n">
        <v>0.371814179122349</v>
      </c>
      <c r="H165" s="25" t="n">
        <v>0.3175076114838369</v>
      </c>
    </row>
    <row r="166">
      <c r="A166" s="36" t="n">
        <v>44382</v>
      </c>
      <c r="B166" s="25" t="n">
        <v>0.3640398947829899</v>
      </c>
      <c r="C166" s="25" t="n">
        <v>0.3380046302004137</v>
      </c>
      <c r="D166" s="25" t="n">
        <v>0.3955433472161333</v>
      </c>
      <c r="E166" s="25" t="n">
        <v>0.3566048849984246</v>
      </c>
      <c r="F166" s="25" t="n">
        <v>0.3490047808874094</v>
      </c>
      <c r="G166" s="25" t="n">
        <v>0.3741079553618469</v>
      </c>
      <c r="H166" s="25" t="n">
        <v>0.3150043151276045</v>
      </c>
    </row>
    <row r="167">
      <c r="A167" s="36" t="n">
        <v>44383</v>
      </c>
      <c r="B167" s="25" t="n">
        <v>0.3630298380688823</v>
      </c>
      <c r="C167" s="25" t="n">
        <v>0.3377034695561941</v>
      </c>
      <c r="D167" s="25" t="n">
        <v>0.3980327150176727</v>
      </c>
      <c r="E167" s="25" t="n">
        <v>0.354003637023668</v>
      </c>
      <c r="F167" s="25" t="n">
        <v>0.3460035548310428</v>
      </c>
      <c r="G167" s="25" t="n">
        <v>0.3698111916580855</v>
      </c>
      <c r="H167" s="25" t="n">
        <v>0.3108031931834916</v>
      </c>
    </row>
    <row r="168">
      <c r="A168" s="36" t="n">
        <v>44384</v>
      </c>
      <c r="B168" s="25" t="n">
        <v>0.3560195079182421</v>
      </c>
      <c r="C168" s="25" t="n">
        <v>0.3376023123446051</v>
      </c>
      <c r="D168" s="25" t="n">
        <v>0.3890213162365061</v>
      </c>
      <c r="E168" s="25" t="n">
        <v>0.3570024452222276</v>
      </c>
      <c r="F168" s="25" t="n">
        <v>0.3470023767286077</v>
      </c>
      <c r="G168" s="25" t="n">
        <v>0.3697100318841769</v>
      </c>
      <c r="H168" s="25" t="n">
        <v>0.3126021411105556</v>
      </c>
    </row>
    <row r="169">
      <c r="A169" s="36" t="n">
        <v>44385</v>
      </c>
      <c r="B169" s="25" t="n">
        <v>0.3554097372530754</v>
      </c>
      <c r="C169" s="25" t="n">
        <v>0.3386011595930123</v>
      </c>
      <c r="D169" s="25" t="n">
        <v>0.3904106961834571</v>
      </c>
      <c r="E169" s="25" t="n">
        <v>0.356601221237059</v>
      </c>
      <c r="F169" s="25" t="n">
        <v>0.3505012003465765</v>
      </c>
      <c r="G169" s="25" t="n">
        <v>0.3681104584532122</v>
      </c>
      <c r="H169" s="25" t="n">
        <v>0.3150010787708177</v>
      </c>
    </row>
    <row r="170">
      <c r="A170" s="36" t="n">
        <v>44389</v>
      </c>
      <c r="B170" s="25" t="n">
        <v>0.357970577760732</v>
      </c>
      <c r="C170" s="25" t="n">
        <v>0.3428964770909888</v>
      </c>
      <c r="D170" s="25" t="n">
        <v>0.3914678245623647</v>
      </c>
      <c r="E170" s="25" t="n">
        <v>0.3595963055174091</v>
      </c>
      <c r="F170" s="25" t="n">
        <v>0.3524963784618651</v>
      </c>
      <c r="G170" s="25" t="n">
        <v>0.37060274431859</v>
      </c>
      <c r="H170" s="25" t="n">
        <v>0.3189967226364113</v>
      </c>
    </row>
    <row r="171">
      <c r="A171" s="36" t="n">
        <v>44390</v>
      </c>
      <c r="B171" s="25" t="n">
        <v>0.3604604974797282</v>
      </c>
      <c r="C171" s="25" t="n">
        <v>0.3474952397912358</v>
      </c>
      <c r="D171" s="25" t="n">
        <v>0.3930569252684638</v>
      </c>
      <c r="E171" s="25" t="n">
        <v>0.3649950000684922</v>
      </c>
      <c r="F171" s="25" t="n">
        <v>0.3599950685607046</v>
      </c>
      <c r="G171" s="25" t="n">
        <v>0.3736981465136804</v>
      </c>
      <c r="H171" s="25" t="n">
        <v>0.3274955137600855</v>
      </c>
    </row>
    <row r="172">
      <c r="A172" s="36" t="n">
        <v>44391</v>
      </c>
      <c r="B172" s="25" t="n">
        <v>0.3639501438159156</v>
      </c>
      <c r="C172" s="25" t="n">
        <v>0.3508939915412408</v>
      </c>
      <c r="D172" s="25" t="n">
        <v>0.3949458978222161</v>
      </c>
      <c r="E172" s="25" t="n">
        <v>0.3681936953134364</v>
      </c>
      <c r="F172" s="25" t="n">
        <v>0.3627937877776066</v>
      </c>
      <c r="G172" s="25" t="n">
        <v>0.3765937430511606</v>
      </c>
      <c r="H172" s="25" t="n">
        <v>0.325994417903803</v>
      </c>
    </row>
    <row r="173">
      <c r="A173" s="36" t="n">
        <v>44392</v>
      </c>
      <c r="B173" s="25" t="n">
        <v>0.3636402235249</v>
      </c>
      <c r="C173" s="25" t="n">
        <v>0.3528927487791347</v>
      </c>
      <c r="D173" s="25" t="n">
        <v>0.3949350791650688</v>
      </c>
      <c r="E173" s="25" t="n">
        <v>0.3699923974164914</v>
      </c>
      <c r="F173" s="25" t="n">
        <v>0.3634925309753909</v>
      </c>
      <c r="G173" s="25" t="n">
        <v>0.3750940762736217</v>
      </c>
      <c r="H173" s="25" t="n">
        <v>0.3271932768504757</v>
      </c>
    </row>
    <row r="174">
      <c r="A174" s="36" t="n">
        <v>44393</v>
      </c>
      <c r="B174" s="25" t="n">
        <v>0.3639302051661325</v>
      </c>
      <c r="C174" s="25" t="n">
        <v>0.3556914731496163</v>
      </c>
      <c r="D174" s="25" t="n">
        <v>0.3970238584381078</v>
      </c>
      <c r="E174" s="25" t="n">
        <v>0.3719910824055588</v>
      </c>
      <c r="F174" s="25" t="n">
        <v>0.3674911902796851</v>
      </c>
      <c r="G174" s="25" t="n">
        <v>0.3774901904439358</v>
      </c>
      <c r="H174" s="25" t="n">
        <v>0.3264921731328359</v>
      </c>
    </row>
    <row r="175">
      <c r="A175" s="36" t="n">
        <v>44396</v>
      </c>
      <c r="B175" s="25" t="n">
        <v>0.3658997534921939</v>
      </c>
      <c r="C175" s="25" t="n">
        <v>0.3583877264477244</v>
      </c>
      <c r="D175" s="25" t="n">
        <v>0.3988907148726376</v>
      </c>
      <c r="E175" s="25" t="n">
        <v>0.3764871066059381</v>
      </c>
      <c r="F175" s="25" t="n">
        <v>0.365987466182665</v>
      </c>
      <c r="G175" s="25" t="n">
        <v>0.379883689107827</v>
      </c>
      <c r="H175" s="25" t="n">
        <v>0.3293887195643985</v>
      </c>
    </row>
    <row r="176">
      <c r="A176" s="36" t="n">
        <v>44397</v>
      </c>
      <c r="B176" s="25" t="n">
        <v>0.3698885267453644</v>
      </c>
      <c r="C176" s="25" t="n">
        <v>0.3618863672943827</v>
      </c>
      <c r="D176" s="25" t="n">
        <v>0.4088767768617677</v>
      </c>
      <c r="E176" s="25" t="n">
        <v>0.3819856101311253</v>
      </c>
      <c r="F176" s="25" t="n">
        <v>0.3759858361500081</v>
      </c>
      <c r="G176" s="25" t="n">
        <v>0.3818801933490922</v>
      </c>
      <c r="H176" s="25" t="n">
        <v>0.3311875237576666</v>
      </c>
    </row>
    <row r="177">
      <c r="A177" s="36" t="n">
        <v>44398</v>
      </c>
      <c r="B177" s="25" t="n">
        <v>0.3718777388255916</v>
      </c>
      <c r="C177" s="25" t="n">
        <v>0.3631850745859759</v>
      </c>
      <c r="D177" s="25" t="n">
        <v>0.4003683720420683</v>
      </c>
      <c r="E177" s="25" t="n">
        <v>0.3814843225620865</v>
      </c>
      <c r="F177" s="25" t="n">
        <v>0.3784844458446913</v>
      </c>
      <c r="G177" s="25" t="n">
        <v>0.3834771245407462</v>
      </c>
      <c r="H177" s="25" t="n">
        <v>0.3325863320685451</v>
      </c>
    </row>
    <row r="178">
      <c r="A178" s="36" t="n">
        <v>44399</v>
      </c>
      <c r="B178" s="25" t="n">
        <v>0.3718675540218553</v>
      </c>
      <c r="C178" s="25" t="n">
        <v>0.3629838397605586</v>
      </c>
      <c r="D178" s="25" t="n">
        <v>0.4058554487442829</v>
      </c>
      <c r="E178" s="25" t="n">
        <v>0.3854828380928246</v>
      </c>
      <c r="F178" s="25" t="n">
        <v>0.3820829894559489</v>
      </c>
      <c r="G178" s="25" t="n">
        <v>0.3853737133239601</v>
      </c>
      <c r="H178" s="25" t="n">
        <v>0.3329851753175372</v>
      </c>
    </row>
    <row r="179">
      <c r="A179" s="36" t="n">
        <v>44400</v>
      </c>
      <c r="B179" s="25" t="n">
        <v>0.3698581366051378</v>
      </c>
      <c r="C179" s="25" t="n">
        <v>0.3627826063133959</v>
      </c>
      <c r="D179" s="25" t="n">
        <v>0.4053445253875226</v>
      </c>
      <c r="E179" s="25" t="n">
        <v>0.3858814988322478</v>
      </c>
      <c r="F179" s="25" t="n">
        <v>0.3849815419808639</v>
      </c>
      <c r="G179" s="25" t="n">
        <v>0.3890682940846458</v>
      </c>
      <c r="H179" s="25" t="n">
        <v>0.3333840158348573</v>
      </c>
    </row>
    <row r="180">
      <c r="A180" s="36" t="n">
        <v>44403</v>
      </c>
      <c r="B180" s="25" t="n">
        <v>0.3704274721362653</v>
      </c>
      <c r="C180" s="25" t="n">
        <v>0.3621789142412942</v>
      </c>
      <c r="D180" s="25" t="n">
        <v>0.4053112249089465</v>
      </c>
      <c r="E180" s="25" t="n">
        <v>0.3844776160292038</v>
      </c>
      <c r="F180" s="25" t="n">
        <v>0.3829777033528869</v>
      </c>
      <c r="G180" s="25" t="n">
        <v>0.3855682164151789</v>
      </c>
      <c r="H180" s="25" t="n">
        <v>0.3349804977107497</v>
      </c>
    </row>
    <row r="181">
      <c r="A181" s="36" t="n">
        <v>44404</v>
      </c>
      <c r="B181" s="25" t="n">
        <v>0.3703173777315296</v>
      </c>
      <c r="C181" s="25" t="n">
        <v>0.3611777356190372</v>
      </c>
      <c r="D181" s="25" t="n">
        <v>0.4028013582342954</v>
      </c>
      <c r="E181" s="25" t="n">
        <v>0.3839763302262189</v>
      </c>
      <c r="F181" s="25" t="n">
        <v>0.3829763918662548</v>
      </c>
      <c r="G181" s="25" t="n">
        <v>0.3857666730521879</v>
      </c>
      <c r="H181" s="25" t="n">
        <v>0.3344793814079954</v>
      </c>
    </row>
    <row r="182">
      <c r="A182" s="36" t="n">
        <v>44405</v>
      </c>
      <c r="B182" s="25" t="n">
        <v>0.3696076015224951</v>
      </c>
      <c r="C182" s="25" t="n">
        <v>0.3600765703601478</v>
      </c>
      <c r="D182" s="25" t="n">
        <v>0.4027903283222432</v>
      </c>
      <c r="E182" s="25" t="n">
        <v>0.3844749827922156</v>
      </c>
      <c r="F182" s="25" t="n">
        <v>0.3799752755813834</v>
      </c>
      <c r="G182" s="25" t="n">
        <v>0.3864645656092964</v>
      </c>
      <c r="H182" s="25" t="n">
        <v>0.3370780668381167</v>
      </c>
    </row>
    <row r="183">
      <c r="A183" s="36" t="n">
        <v>44406</v>
      </c>
      <c r="B183" s="25" t="n">
        <v>0.3683981380065717</v>
      </c>
      <c r="C183" s="25" t="n">
        <v>0.3590754057941237</v>
      </c>
      <c r="D183" s="25" t="n">
        <v>0.4097754654983571</v>
      </c>
      <c r="E183" s="25" t="n">
        <v>0.3844736661872475</v>
      </c>
      <c r="F183" s="25" t="n">
        <v>0.3814738716526265</v>
      </c>
      <c r="G183" s="25" t="n">
        <v>0.3863633564806896</v>
      </c>
      <c r="H183" s="25" t="n">
        <v>0.3349770563660023</v>
      </c>
    </row>
    <row r="184">
      <c r="A184" s="36" t="n">
        <v>44407</v>
      </c>
      <c r="B184" s="25" t="n">
        <v>0.3677883957175324</v>
      </c>
      <c r="C184" s="25" t="n">
        <v>0.3586742049373161</v>
      </c>
      <c r="D184" s="25" t="n">
        <v>0.4087648202404096</v>
      </c>
      <c r="E184" s="25" t="n">
        <v>0.3847723280175055</v>
      </c>
      <c r="F184" s="25" t="n">
        <v>0.380972601285524</v>
      </c>
      <c r="G184" s="25" t="n">
        <v>0.387760449627306</v>
      </c>
      <c r="H184" s="25" t="n">
        <v>0.3357758517366902</v>
      </c>
    </row>
    <row r="185">
      <c r="A185" s="36" t="n">
        <v>44409</v>
      </c>
      <c r="B185" s="25" t="n">
        <v>0.3672685704898283</v>
      </c>
      <c r="C185" s="25" t="n">
        <v>0.357771819342997</v>
      </c>
      <c r="D185" s="25" t="n">
        <v>0.4047449552336884</v>
      </c>
      <c r="E185" s="25" t="n">
        <v>0.3829698345678251</v>
      </c>
      <c r="F185" s="25" t="n">
        <v>0.3804700314701239</v>
      </c>
      <c r="G185" s="25" t="n">
        <v>0.3895557463577495</v>
      </c>
      <c r="H185" s="25" t="n">
        <v>0.3359735363310424</v>
      </c>
    </row>
    <row r="186">
      <c r="A186" s="36" t="n">
        <v>44410</v>
      </c>
      <c r="B186" s="25" t="n">
        <v>0.366259172051254</v>
      </c>
      <c r="C186" s="25" t="n">
        <v>0.3558707503492864</v>
      </c>
      <c r="D186" s="25" t="n">
        <v>0.3998370934180265</v>
      </c>
      <c r="E186" s="25" t="n">
        <v>0.3822685806646029</v>
      </c>
      <c r="F186" s="25" t="n">
        <v>0.3789688518751883</v>
      </c>
      <c r="G186" s="25" t="n">
        <v>0.3891548707984703</v>
      </c>
      <c r="H186" s="25" t="n">
        <v>0.3369723036462757</v>
      </c>
    </row>
    <row r="187">
      <c r="A187" s="36" t="n">
        <v>44411</v>
      </c>
      <c r="B187" s="25" t="n">
        <v>0.364050650239562</v>
      </c>
      <c r="C187" s="25" t="n">
        <v>0.3540696858145707</v>
      </c>
      <c r="D187" s="25" t="n">
        <v>0.4047227926078029</v>
      </c>
      <c r="E187" s="25" t="n">
        <v>0.3814673401249893</v>
      </c>
      <c r="F187" s="25" t="n">
        <v>0.3759678109750877</v>
      </c>
      <c r="G187" s="25" t="n">
        <v>0.3874554877110165</v>
      </c>
      <c r="H187" s="25" t="n">
        <v>0.3342713808749251</v>
      </c>
    </row>
    <row r="188">
      <c r="A188" s="36" t="n">
        <v>44412</v>
      </c>
      <c r="B188" s="25" t="n">
        <v>0.3627416087170782</v>
      </c>
      <c r="C188" s="25" t="n">
        <v>0.3518686692280824</v>
      </c>
      <c r="D188" s="25" t="n">
        <v>0.4097081530964244</v>
      </c>
      <c r="E188" s="25" t="n">
        <v>0.3769664344955587</v>
      </c>
      <c r="F188" s="25" t="n">
        <v>0.3714669241779842</v>
      </c>
      <c r="G188" s="25" t="n">
        <v>0.3865551967598927</v>
      </c>
      <c r="H188" s="25" t="n">
        <v>0.3301706012478342</v>
      </c>
    </row>
    <row r="189">
      <c r="A189" s="36" t="n">
        <v>44413</v>
      </c>
      <c r="B189" s="25" t="n">
        <v>0.3622320475264872</v>
      </c>
      <c r="C189" s="25" t="n">
        <v>0.3496676677156564</v>
      </c>
      <c r="D189" s="25" t="n">
        <v>0.4037013715881403</v>
      </c>
      <c r="E189" s="25" t="n">
        <v>0.3739654210055919</v>
      </c>
      <c r="F189" s="25" t="n">
        <v>0.3699657908344092</v>
      </c>
      <c r="G189" s="25" t="n">
        <v>0.3835573328042636</v>
      </c>
      <c r="H189" s="25" t="n">
        <v>0.3274697202655919</v>
      </c>
    </row>
    <row r="190">
      <c r="A190" s="36" t="n">
        <v>44417</v>
      </c>
      <c r="B190" s="25" t="n">
        <v>0.360893487722756</v>
      </c>
      <c r="C190" s="25" t="n">
        <v>0.3509627402570275</v>
      </c>
      <c r="D190" s="25" t="n">
        <v>0.400160137965016</v>
      </c>
      <c r="E190" s="25" t="n">
        <v>0.3739602987354082</v>
      </c>
      <c r="F190" s="25" t="n">
        <v>0.3707606384253727</v>
      </c>
      <c r="G190" s="25" t="n">
        <v>0.3828529012352013</v>
      </c>
      <c r="H190" s="25" t="n">
        <v>0.3269652879317607</v>
      </c>
    </row>
    <row r="191">
      <c r="A191" s="36" t="n">
        <v>44418</v>
      </c>
      <c r="B191" s="25" t="n">
        <v>0.3646802803022008</v>
      </c>
      <c r="C191" s="25" t="n">
        <v>0.3534612645189568</v>
      </c>
      <c r="D191" s="25" t="n">
        <v>0.4046452425270995</v>
      </c>
      <c r="E191" s="25" t="n">
        <v>0.3773586456278764</v>
      </c>
      <c r="F191" s="25" t="n">
        <v>0.3749589086127548</v>
      </c>
      <c r="G191" s="25" t="n">
        <v>0.3864473801232802</v>
      </c>
      <c r="H191" s="25" t="n">
        <v>0.3290639381985536</v>
      </c>
    </row>
    <row r="192">
      <c r="A192" s="36" t="n">
        <v>44419</v>
      </c>
      <c r="B192" s="25" t="n">
        <v>0.3661689431472915</v>
      </c>
      <c r="C192" s="25" t="n">
        <v>0.3552598507702897</v>
      </c>
      <c r="D192" s="25" t="n">
        <v>0.4046341663701311</v>
      </c>
      <c r="E192" s="25" t="n">
        <v>0.3780572743491318</v>
      </c>
      <c r="F192" s="25" t="n">
        <v>0.3754575681515445</v>
      </c>
      <c r="G192" s="25" t="n">
        <v>0.3865459408981916</v>
      </c>
      <c r="H192" s="25" t="n">
        <v>0.3302626757934891</v>
      </c>
    </row>
    <row r="193">
      <c r="A193" s="36" t="n">
        <v>44420</v>
      </c>
      <c r="B193" s="25" t="n">
        <v>0.3698554770898342</v>
      </c>
      <c r="C193" s="25" t="n">
        <v>0.3567584596314128</v>
      </c>
      <c r="D193" s="25" t="n">
        <v>0.4066212295396069</v>
      </c>
      <c r="E193" s="25" t="n">
        <v>0.3839552928768568</v>
      </c>
      <c r="F193" s="25" t="n">
        <v>0.378955875000856</v>
      </c>
      <c r="G193" s="25" t="n">
        <v>0.3909394412062502</v>
      </c>
      <c r="H193" s="25" t="n">
        <v>0.3379606484176499</v>
      </c>
    </row>
    <row r="194">
      <c r="A194" s="36" t="n">
        <v>44421</v>
      </c>
      <c r="B194" s="25" t="n">
        <v>0.3611536882441495</v>
      </c>
      <c r="C194" s="25" t="n">
        <v>0.3511579091547246</v>
      </c>
      <c r="D194" s="25" t="n">
        <v>0.4056110578896948</v>
      </c>
      <c r="E194" s="25" t="n">
        <v>0.3774547571352749</v>
      </c>
      <c r="F194" s="25" t="n">
        <v>0.3739551766055438</v>
      </c>
      <c r="G194" s="25" t="n">
        <v>0.387542116335152</v>
      </c>
      <c r="H194" s="25" t="n">
        <v>0.3324601503244474</v>
      </c>
    </row>
    <row r="195">
      <c r="A195" s="36" t="n">
        <v>44425</v>
      </c>
      <c r="B195" s="25" t="n">
        <v>0.3605147924135855</v>
      </c>
      <c r="C195" s="25" t="n">
        <v>0.352652899099093</v>
      </c>
      <c r="D195" s="25" t="n">
        <v>0.3976750868934563</v>
      </c>
      <c r="E195" s="25" t="n">
        <v>0.3774495872126668</v>
      </c>
      <c r="F195" s="25" t="n">
        <v>0.3639513900540681</v>
      </c>
      <c r="G195" s="25" t="n">
        <v>0.3835415889912399</v>
      </c>
      <c r="H195" s="25" t="n">
        <v>0.3269563311749458</v>
      </c>
    </row>
    <row r="196">
      <c r="A196" s="36" t="n">
        <v>44426</v>
      </c>
      <c r="B196" s="25" t="n">
        <v>0.3596059113300493</v>
      </c>
      <c r="C196" s="25" t="n">
        <v>0.3510519106971648</v>
      </c>
      <c r="D196" s="25" t="n">
        <v>0.3995621237000547</v>
      </c>
      <c r="E196" s="25" t="n">
        <v>0.376448431721682</v>
      </c>
      <c r="F196" s="25" t="n">
        <v>0.366549787700315</v>
      </c>
      <c r="G196" s="25" t="n">
        <v>0.3820420728578758</v>
      </c>
      <c r="H196" s="25" t="n">
        <v>0.3317545541706616</v>
      </c>
    </row>
    <row r="197">
      <c r="A197" s="36" t="n">
        <v>44427</v>
      </c>
      <c r="B197" s="25" t="n">
        <v>0.3610943871267891</v>
      </c>
      <c r="C197" s="25" t="n">
        <v>0.3525504980465071</v>
      </c>
      <c r="D197" s="25" t="n">
        <v>0.3995511890752853</v>
      </c>
      <c r="E197" s="25" t="n">
        <v>0.3724477042607031</v>
      </c>
      <c r="F197" s="25" t="n">
        <v>0.3669484764125586</v>
      </c>
      <c r="G197" s="25" t="n">
        <v>0.3786448481448669</v>
      </c>
      <c r="H197" s="25" t="n">
        <v>0.3319533901061837</v>
      </c>
    </row>
    <row r="198">
      <c r="A198" s="36" t="n">
        <v>44428</v>
      </c>
      <c r="B198" s="25" t="n">
        <v>0.3616838158830935</v>
      </c>
      <c r="C198" s="25" t="n">
        <v>0.3526492764739318</v>
      </c>
      <c r="D198" s="25" t="n">
        <v>0.3895517486727601</v>
      </c>
      <c r="E198" s="25" t="n">
        <v>0.3719465008457688</v>
      </c>
      <c r="F198" s="25" t="n">
        <v>0.3659473637353531</v>
      </c>
      <c r="G198" s="25" t="n">
        <v>0.3794425897548162</v>
      </c>
      <c r="H198" s="25" t="n">
        <v>0.3269529725176516</v>
      </c>
    </row>
    <row r="199">
      <c r="A199" s="36" t="n">
        <v>44431</v>
      </c>
      <c r="B199" s="25" t="n">
        <v>0.3640511697906691</v>
      </c>
      <c r="C199" s="25" t="n">
        <v>0.3525456693317811</v>
      </c>
      <c r="D199" s="25" t="n">
        <v>0.399507456560405</v>
      </c>
      <c r="E199" s="25" t="n">
        <v>0.3739423718947422</v>
      </c>
      <c r="F199" s="25" t="n">
        <v>0.369942988238114</v>
      </c>
      <c r="G199" s="25" t="n">
        <v>0.3870294675993227</v>
      </c>
      <c r="H199" s="25" t="n">
        <v>0.3289493057576743</v>
      </c>
    </row>
    <row r="200">
      <c r="A200" s="36" t="n">
        <v>44432</v>
      </c>
      <c r="B200" s="25" t="n">
        <v>0.3665380616209709</v>
      </c>
      <c r="C200" s="25" t="n">
        <v>0.3538442574115037</v>
      </c>
      <c r="D200" s="25" t="n">
        <v>0.4094839380506758</v>
      </c>
      <c r="E200" s="25" t="n">
        <v>0.3774405401888744</v>
      </c>
      <c r="F200" s="25" t="n">
        <v>0.371441485245475</v>
      </c>
      <c r="G200" s="25" t="n">
        <v>0.3954179151445498</v>
      </c>
      <c r="H200" s="25" t="n">
        <v>0.3379467618114954</v>
      </c>
    </row>
    <row r="201">
      <c r="A201" s="36" t="n">
        <v>44433</v>
      </c>
      <c r="B201" s="25" t="n">
        <v>0.3665280323966399</v>
      </c>
      <c r="C201" s="25" t="n">
        <v>0.3536430779977195</v>
      </c>
      <c r="D201" s="25" t="n">
        <v>0.4134675896790434</v>
      </c>
      <c r="E201" s="25" t="n">
        <v>0.3766393765387078</v>
      </c>
      <c r="F201" s="25" t="n">
        <v>0.3714402133903105</v>
      </c>
      <c r="G201" s="25" t="n">
        <v>0.3944177837370065</v>
      </c>
      <c r="H201" s="25" t="n">
        <v>0.3349460874448291</v>
      </c>
    </row>
    <row r="202">
      <c r="A202" s="36" t="n">
        <v>44434</v>
      </c>
      <c r="B202" s="25" t="n">
        <v>0.365319579730765</v>
      </c>
      <c r="C202" s="25" t="n">
        <v>0.3541417849120693</v>
      </c>
      <c r="D202" s="25" t="n">
        <v>0.4164523366531684</v>
      </c>
      <c r="E202" s="25" t="n">
        <v>0.3749383662959513</v>
      </c>
      <c r="F202" s="25" t="n">
        <v>0.3709390237221279</v>
      </c>
      <c r="G202" s="25" t="n">
        <v>0.3925187612447752</v>
      </c>
      <c r="H202" s="25" t="n">
        <v>0.3399441187749959</v>
      </c>
    </row>
    <row r="203">
      <c r="A203" s="36" t="n">
        <v>44435</v>
      </c>
      <c r="B203" s="25" t="n">
        <v>0.3665079755944075</v>
      </c>
      <c r="C203" s="25" t="n">
        <v>0.3562402199630884</v>
      </c>
      <c r="D203" s="25" t="n">
        <v>0.4204355796328217</v>
      </c>
      <c r="E203" s="25" t="n">
        <v>0.377936579135693</v>
      </c>
      <c r="F203" s="25" t="n">
        <v>0.3737372838119631</v>
      </c>
      <c r="G203" s="25" t="n">
        <v>0.3955137348260187</v>
      </c>
      <c r="H203" s="25" t="n">
        <v>0.341242736664053</v>
      </c>
    </row>
    <row r="204">
      <c r="A204" s="36" t="n">
        <v>44438</v>
      </c>
      <c r="B204" s="25" t="n">
        <v>0.37206992777413</v>
      </c>
      <c r="C204" s="25" t="n">
        <v>0.3600358840206538</v>
      </c>
      <c r="D204" s="25" t="n">
        <v>0.4243953819216459</v>
      </c>
      <c r="E204" s="25" t="n">
        <v>0.3839316286140824</v>
      </c>
      <c r="F204" s="25" t="n">
        <v>0.3819319847150508</v>
      </c>
      <c r="G204" s="25" t="n">
        <v>0.4015022472140702</v>
      </c>
      <c r="H204" s="25" t="n">
        <v>0.3499376823305439</v>
      </c>
    </row>
    <row r="205">
      <c r="A205" s="36" t="n">
        <v>44439</v>
      </c>
      <c r="B205" s="25" t="n">
        <v>0.3751552540147183</v>
      </c>
      <c r="C205" s="25" t="n">
        <v>0.3630341068230766</v>
      </c>
      <c r="D205" s="25" t="n">
        <v>0.4203895713074167</v>
      </c>
      <c r="E205" s="25" t="n">
        <v>0.3844302232813908</v>
      </c>
      <c r="F205" s="25" t="n">
        <v>0.383930314018346</v>
      </c>
      <c r="G205" s="25" t="n">
        <v>0.4026993839849776</v>
      </c>
      <c r="H205" s="25" t="n">
        <v>0.349936484131305</v>
      </c>
    </row>
    <row r="206">
      <c r="A206" s="36" t="n">
        <v>44440</v>
      </c>
      <c r="B206" s="25" t="n">
        <v>0.3788395250861739</v>
      </c>
      <c r="C206" s="25" t="n">
        <v>0.3687318098707774</v>
      </c>
      <c r="D206" s="25" t="n">
        <v>0.424372161733326</v>
      </c>
      <c r="E206" s="25" t="n">
        <v>0.3869284447396715</v>
      </c>
      <c r="F206" s="25" t="n">
        <v>0.3859286296369849</v>
      </c>
      <c r="G206" s="25" t="n">
        <v>0.4062935245105416</v>
      </c>
      <c r="H206" s="25" t="n">
        <v>0.3559341765563903</v>
      </c>
    </row>
    <row r="207">
      <c r="A207" s="36" t="n">
        <v>44441</v>
      </c>
      <c r="B207" s="25" t="n">
        <v>0.3834222404595815</v>
      </c>
      <c r="C207" s="25" t="n">
        <v>0.3745294550683946</v>
      </c>
      <c r="D207" s="25" t="n">
        <v>0.4333470113527561</v>
      </c>
      <c r="E207" s="25" t="n">
        <v>0.3939258016469501</v>
      </c>
      <c r="F207" s="25" t="n">
        <v>0.3919261782883361</v>
      </c>
      <c r="G207" s="25" t="n">
        <v>0.4089887640449438</v>
      </c>
      <c r="H207" s="25" t="n">
        <v>0.3579325811918987</v>
      </c>
    </row>
    <row r="208">
      <c r="A208" s="36" t="n">
        <v>44442</v>
      </c>
      <c r="B208" s="25" t="n">
        <v>0.3844102199365357</v>
      </c>
      <c r="C208" s="25" t="n">
        <v>0.3761278658887336</v>
      </c>
      <c r="D208" s="25" t="n">
        <v>0.421852773826458</v>
      </c>
      <c r="E208" s="25" t="n">
        <v>0.3924247404607336</v>
      </c>
      <c r="F208" s="25" t="n">
        <v>0.3924247404607336</v>
      </c>
      <c r="G208" s="25" t="n">
        <v>0.408687740708564</v>
      </c>
      <c r="H208" s="25" t="n">
        <v>0.3569315473744761</v>
      </c>
    </row>
    <row r="209">
      <c r="A209" s="36" t="n">
        <v>44445</v>
      </c>
      <c r="B209" s="25" t="n">
        <v>0.3853770617358243</v>
      </c>
      <c r="C209" s="25" t="n">
        <v>0.3775237195224252</v>
      </c>
      <c r="D209" s="25" t="n">
        <v>0.4268100878032769</v>
      </c>
      <c r="E209" s="25" t="n">
        <v>0.3959200024652553</v>
      </c>
      <c r="F209" s="25" t="n">
        <v>0.3934205075001969</v>
      </c>
      <c r="G209" s="25" t="n">
        <v>0.4133776152738491</v>
      </c>
      <c r="H209" s="25" t="n">
        <v>0.3594273759754023</v>
      </c>
    </row>
    <row r="210">
      <c r="A210" s="36" t="n">
        <v>44446</v>
      </c>
      <c r="B210" s="25" t="n">
        <v>0.3893599562363239</v>
      </c>
      <c r="C210" s="25" t="n">
        <v>0.3784222420050675</v>
      </c>
      <c r="D210" s="25" t="n">
        <v>0.4292943107221007</v>
      </c>
      <c r="E210" s="25" t="n">
        <v>0.3969184414161474</v>
      </c>
      <c r="F210" s="25" t="n">
        <v>0.3939190577278641</v>
      </c>
      <c r="G210" s="25" t="n">
        <v>0.4116783527721722</v>
      </c>
      <c r="H210" s="25" t="n">
        <v>0.3634253235636513</v>
      </c>
    </row>
    <row r="211">
      <c r="A211" s="36" t="n">
        <v>44447</v>
      </c>
      <c r="B211" s="25" t="n">
        <v>0.3873526435272558</v>
      </c>
      <c r="C211" s="25" t="n">
        <v>0.3778210716254481</v>
      </c>
      <c r="D211" s="25" t="n">
        <v>0.4242909110801127</v>
      </c>
      <c r="E211" s="25" t="n">
        <v>0.3914182311229503</v>
      </c>
      <c r="F211" s="25" t="n">
        <v>0.3904184399834281</v>
      </c>
      <c r="G211" s="25" t="n">
        <v>0.4029879844444216</v>
      </c>
      <c r="H211" s="25" t="n">
        <v>0.3586250817466214</v>
      </c>
    </row>
    <row r="212">
      <c r="A212" s="36" t="n">
        <v>44448</v>
      </c>
      <c r="B212" s="25" t="n">
        <v>0.3863437448717248</v>
      </c>
      <c r="C212" s="25" t="n">
        <v>0.3773198841341907</v>
      </c>
      <c r="D212" s="25" t="n">
        <v>0.416792024506318</v>
      </c>
      <c r="E212" s="25" t="n">
        <v>0.3889174216433497</v>
      </c>
      <c r="F212" s="25" t="n">
        <v>0.3879176339270429</v>
      </c>
      <c r="G212" s="25" t="n">
        <v>0.4004897869837057</v>
      </c>
      <c r="H212" s="25" t="n">
        <v>0.3559244270052249</v>
      </c>
    </row>
    <row r="213">
      <c r="A213" s="36" t="n">
        <v>44449</v>
      </c>
      <c r="B213" s="25" t="n">
        <v>0.3883297322429778</v>
      </c>
      <c r="C213" s="25" t="n">
        <v>0.3767187216456723</v>
      </c>
      <c r="D213" s="25" t="n">
        <v>0.4167806252222192</v>
      </c>
      <c r="E213" s="25" t="n">
        <v>0.3859167371423289</v>
      </c>
      <c r="F213" s="25" t="n">
        <v>0.3894159821682309</v>
      </c>
      <c r="G213" s="25" t="n">
        <v>0.3944960717986955</v>
      </c>
      <c r="H213" s="25" t="n">
        <v>0.3450255595539318</v>
      </c>
    </row>
    <row r="214">
      <c r="A214" s="36" t="n">
        <v>44452</v>
      </c>
      <c r="B214" s="25" t="n">
        <v>0.395285237652464</v>
      </c>
      <c r="C214" s="25" t="n">
        <v>0.3842131573000623</v>
      </c>
      <c r="D214" s="25" t="n">
        <v>0.4332166493463873</v>
      </c>
      <c r="E214" s="25" t="n">
        <v>0.3964104003889531</v>
      </c>
      <c r="F214" s="25" t="n">
        <v>0.3949107393534338</v>
      </c>
      <c r="G214" s="25" t="n">
        <v>0.4151654034530878</v>
      </c>
      <c r="H214" s="25" t="n">
        <v>0.3560195298322982</v>
      </c>
    </row>
    <row r="215">
      <c r="A215" s="36" t="n">
        <v>44453</v>
      </c>
      <c r="B215" s="25" t="n">
        <v>0.3927790083955479</v>
      </c>
      <c r="C215" s="25" t="n">
        <v>0.3826122088424916</v>
      </c>
      <c r="D215" s="25" t="n">
        <v>0.4292121311565072</v>
      </c>
      <c r="E215" s="25" t="n">
        <v>0.3939096166290611</v>
      </c>
      <c r="F215" s="25" t="n">
        <v>0.3939096166290611</v>
      </c>
      <c r="G215" s="25" t="n">
        <v>0.4104700438132959</v>
      </c>
      <c r="H215" s="25" t="n">
        <v>0.3561182879270852</v>
      </c>
    </row>
    <row r="216">
      <c r="A216" s="36" t="n">
        <v>44454</v>
      </c>
      <c r="B216" s="25" t="n">
        <v>0.3972598993655655</v>
      </c>
      <c r="C216" s="25" t="n">
        <v>0.3815111549365216</v>
      </c>
      <c r="D216" s="25" t="n">
        <v>0.4341910960402538</v>
      </c>
      <c r="E216" s="25" t="n">
        <v>0.3944081515263569</v>
      </c>
      <c r="F216" s="25" t="n">
        <v>0.3929085007600969</v>
      </c>
      <c r="G216" s="25" t="n">
        <v>0.4135646320858614</v>
      </c>
      <c r="H216" s="25" t="n">
        <v>0.3559171151923525</v>
      </c>
    </row>
    <row r="217">
      <c r="A217" s="36" t="n">
        <v>44455</v>
      </c>
      <c r="B217" s="25" t="n">
        <v>0.4012414886926085</v>
      </c>
      <c r="C217" s="25" t="n">
        <v>0.381709801451027</v>
      </c>
      <c r="D217" s="25" t="n">
        <v>0.4291886570592578</v>
      </c>
      <c r="E217" s="25" t="n">
        <v>0.3949066830098367</v>
      </c>
      <c r="F217" s="25" t="n">
        <v>0.3924072736236985</v>
      </c>
      <c r="G217" s="25" t="n">
        <v>0.4123647731198205</v>
      </c>
      <c r="H217" s="25" t="n">
        <v>0.3579154240949912</v>
      </c>
    </row>
    <row r="218">
      <c r="A218" s="36" t="n">
        <v>44456</v>
      </c>
      <c r="B218" s="25" t="n">
        <v>0.4002324309543342</v>
      </c>
      <c r="C218" s="25" t="n">
        <v>0.3809086862738385</v>
      </c>
      <c r="D218" s="25" t="n">
        <v>0.4341673502871206</v>
      </c>
      <c r="E218" s="25" t="n">
        <v>0.3919060499195399</v>
      </c>
      <c r="F218" s="25" t="n">
        <v>0.3914061697538261</v>
      </c>
      <c r="G218" s="25" t="n">
        <v>0.4079690813325125</v>
      </c>
      <c r="H218" s="25" t="n">
        <v>0.3579141986510083</v>
      </c>
    </row>
    <row r="219">
      <c r="A219" s="36" t="n">
        <v>44459</v>
      </c>
      <c r="B219" s="25" t="n">
        <v>0.3992015968063872</v>
      </c>
      <c r="C219" s="25" t="n">
        <v>0.3787053236690828</v>
      </c>
      <c r="D219" s="25" t="n">
        <v>0.4341317365269461</v>
      </c>
      <c r="E219" s="25" t="n">
        <v>0.3861034741314671</v>
      </c>
      <c r="F219" s="25" t="n">
        <v>0.3849037740564859</v>
      </c>
      <c r="G219" s="25" t="n">
        <v>0.3998755057578587</v>
      </c>
      <c r="H219" s="25" t="n">
        <v>0.3514121469632592</v>
      </c>
    </row>
    <row r="220">
      <c r="A220" s="36" t="n">
        <v>44460</v>
      </c>
      <c r="B220" s="25" t="n">
        <v>0.3971947284956526</v>
      </c>
      <c r="C220" s="25" t="n">
        <v>0.3775043310941747</v>
      </c>
      <c r="D220" s="25" t="n">
        <v>0.4111664023623339</v>
      </c>
      <c r="E220" s="25" t="n">
        <v>0.3873018481617673</v>
      </c>
      <c r="F220" s="25" t="n">
        <v>0.3849024562268466</v>
      </c>
      <c r="G220" s="25" t="n">
        <v>0.3958793914851702</v>
      </c>
      <c r="H220" s="25" t="n">
        <v>0.3499113238425878</v>
      </c>
    </row>
    <row r="221">
      <c r="A221" s="36" t="n">
        <v>44461</v>
      </c>
      <c r="B221" s="25" t="n">
        <v>0.395187969924812</v>
      </c>
      <c r="C221" s="25" t="n">
        <v>0.3768032183514508</v>
      </c>
      <c r="D221" s="25" t="n">
        <v>0.414149008885851</v>
      </c>
      <c r="E221" s="25" t="n">
        <v>0.3835014979029359</v>
      </c>
      <c r="F221" s="25" t="n">
        <v>0.3819019087563126</v>
      </c>
      <c r="G221" s="25" t="n">
        <v>0.3934811977358619</v>
      </c>
      <c r="H221" s="25" t="n">
        <v>0.3424120516990499</v>
      </c>
    </row>
    <row r="222">
      <c r="A222" s="36" t="n">
        <v>44462</v>
      </c>
      <c r="B222" s="25" t="n">
        <v>0.3921833989501312</v>
      </c>
      <c r="C222" s="25" t="n">
        <v>0.3763020583683699</v>
      </c>
      <c r="D222" s="25" t="n">
        <v>0.4132395559930008</v>
      </c>
      <c r="E222" s="25" t="n">
        <v>0.3799011216258782</v>
      </c>
      <c r="F222" s="25" t="n">
        <v>0.3789013818321258</v>
      </c>
      <c r="G222" s="25" t="n">
        <v>0.3904838124944423</v>
      </c>
      <c r="H222" s="25" t="n">
        <v>0.3454100987414234</v>
      </c>
    </row>
    <row r="223">
      <c r="A223" s="36" t="n">
        <v>44463</v>
      </c>
      <c r="B223" s="25" t="n">
        <v>0.3847882549142904</v>
      </c>
      <c r="C223" s="25" t="n">
        <v>0.3735015081639431</v>
      </c>
      <c r="D223" s="25" t="n">
        <v>0.4081389944500642</v>
      </c>
      <c r="E223" s="25" t="n">
        <v>0.3734015345268543</v>
      </c>
      <c r="F223" s="25" t="n">
        <v>0.3793999527521852</v>
      </c>
      <c r="G223" s="25" t="n">
        <v>0.3854890949324012</v>
      </c>
      <c r="H223" s="25" t="n">
        <v>0.3443092061339989</v>
      </c>
    </row>
    <row r="224">
      <c r="A224" s="36" t="n">
        <v>44466</v>
      </c>
      <c r="B224" s="25" t="n">
        <v>0.3836591033351558</v>
      </c>
      <c r="C224" s="25" t="n">
        <v>0.3718981101068201</v>
      </c>
      <c r="D224" s="25" t="n">
        <v>0.4061098961180973</v>
      </c>
      <c r="E224" s="25" t="n">
        <v>0.3778964667214462</v>
      </c>
      <c r="F224" s="25" t="n">
        <v>0.3738975623116954</v>
      </c>
      <c r="G224" s="25" t="n">
        <v>0.390478470535928</v>
      </c>
      <c r="H224" s="25" t="n">
        <v>0.3409066009312517</v>
      </c>
    </row>
    <row r="225">
      <c r="A225" s="36" t="n">
        <v>44467</v>
      </c>
      <c r="B225" s="25" t="n">
        <v>0.3836486154014379</v>
      </c>
      <c r="C225" s="25" t="n">
        <v>0.3710970586926229</v>
      </c>
      <c r="D225" s="25" t="n">
        <v>0.4110877231349608</v>
      </c>
      <c r="E225" s="25" t="n">
        <v>0.3788948955940304</v>
      </c>
      <c r="F225" s="25" t="n">
        <v>0.3788948955940304</v>
      </c>
      <c r="G225" s="25" t="n">
        <v>0.3949711174420553</v>
      </c>
      <c r="H225" s="25" t="n">
        <v>0.3449043244853311</v>
      </c>
    </row>
    <row r="226">
      <c r="A226" s="36" t="n">
        <v>44468</v>
      </c>
      <c r="B226" s="25" t="n">
        <v>0.3881280411131157</v>
      </c>
      <c r="C226" s="25" t="n">
        <v>0.3721954793516889</v>
      </c>
      <c r="D226" s="25" t="n">
        <v>0.416564157235799</v>
      </c>
      <c r="E226" s="25" t="n">
        <v>0.3818927561438227</v>
      </c>
      <c r="F226" s="25" t="n">
        <v>0.3778938791161386</v>
      </c>
      <c r="G226" s="25" t="n">
        <v>0.4009617226189499</v>
      </c>
      <c r="H226" s="25" t="n">
        <v>0.3474024417800481</v>
      </c>
    </row>
    <row r="227">
      <c r="A227" s="36" t="n">
        <v>44469</v>
      </c>
      <c r="B227" s="25" t="n">
        <v>0.3891151627805265</v>
      </c>
      <c r="C227" s="25" t="n">
        <v>0.3710945176542284</v>
      </c>
      <c r="D227" s="25" t="n">
        <v>0.4130607112593281</v>
      </c>
      <c r="E227" s="25" t="n">
        <v>0.3798920169951692</v>
      </c>
      <c r="F227" s="25" t="n">
        <v>0.3748934378241801</v>
      </c>
      <c r="G227" s="25" t="n">
        <v>0.3994623674301369</v>
      </c>
      <c r="H227" s="25" t="n">
        <v>0.3449019627982457</v>
      </c>
    </row>
    <row r="228">
      <c r="A228" s="36" t="n">
        <v>44470</v>
      </c>
      <c r="B228" s="25" t="n">
        <v>0.3811228952547562</v>
      </c>
      <c r="C228" s="25" t="n">
        <v>0.3696936497719834</v>
      </c>
      <c r="D228" s="25" t="n">
        <v>0.4198338071287995</v>
      </c>
      <c r="E228" s="25" t="n">
        <v>0.3798907163692636</v>
      </c>
      <c r="F228" s="25" t="n">
        <v>0.3708933046657811</v>
      </c>
      <c r="G228" s="25" t="n">
        <v>0.3993611360014228</v>
      </c>
      <c r="H228" s="25" t="n">
        <v>0.3439010695553334</v>
      </c>
    </row>
    <row r="229">
      <c r="A229" s="36" t="n">
        <v>44473</v>
      </c>
      <c r="B229" s="25" t="n">
        <v>0.3805928335201028</v>
      </c>
      <c r="C229" s="25" t="n">
        <v>0.368590180322986</v>
      </c>
      <c r="D229" s="25" t="n">
        <v>0.4140131740782245</v>
      </c>
      <c r="E229" s="25" t="n">
        <v>0.3778874102579026</v>
      </c>
      <c r="F229" s="25" t="n">
        <v>0.3708894952531266</v>
      </c>
      <c r="G229" s="25" t="n">
        <v>0.3968604329045784</v>
      </c>
      <c r="H229" s="25" t="n">
        <v>0.3435976267345003</v>
      </c>
    </row>
    <row r="230">
      <c r="A230" s="36" t="n">
        <v>44474</v>
      </c>
      <c r="B230" s="25" t="n">
        <v>0.3840740133377064</v>
      </c>
      <c r="C230" s="25" t="n">
        <v>0.3667894607104708</v>
      </c>
      <c r="D230" s="25" t="n">
        <v>0.4159970482125288</v>
      </c>
      <c r="E230" s="25" t="n">
        <v>0.3798855139546986</v>
      </c>
      <c r="F230" s="25" t="n">
        <v>0.3736873818849114</v>
      </c>
      <c r="G230" s="25" t="n">
        <v>0.3994555366315775</v>
      </c>
      <c r="H230" s="25" t="n">
        <v>0.3443962093615623</v>
      </c>
    </row>
    <row r="231">
      <c r="A231" s="36" t="n">
        <v>44475</v>
      </c>
      <c r="B231" s="25" t="n">
        <v>0.379075678482604</v>
      </c>
      <c r="C231" s="25" t="n">
        <v>0.3636891495400375</v>
      </c>
      <c r="D231" s="25" t="n">
        <v>0.4159856787559102</v>
      </c>
      <c r="E231" s="25" t="n">
        <v>0.3733861939340407</v>
      </c>
      <c r="F231" s="25" t="n">
        <v>0.3688875650914618</v>
      </c>
      <c r="G231" s="25" t="n">
        <v>0.3944609933686504</v>
      </c>
      <c r="H231" s="25" t="n">
        <v>0.3308991437541298</v>
      </c>
    </row>
    <row r="232">
      <c r="A232" s="36" t="n">
        <v>44476</v>
      </c>
      <c r="B232" s="25" t="n">
        <v>0.3735788466794207</v>
      </c>
      <c r="C232" s="25" t="n">
        <v>0.3637878736006026</v>
      </c>
      <c r="D232" s="25" t="n">
        <v>0.4089915277398196</v>
      </c>
      <c r="E232" s="25" t="n">
        <v>0.3723852237324112</v>
      </c>
      <c r="F232" s="25" t="n">
        <v>0.3678866102913485</v>
      </c>
      <c r="G232" s="25" t="n">
        <v>0.3909644322845417</v>
      </c>
      <c r="H232" s="25" t="n">
        <v>0.3398952377691807</v>
      </c>
    </row>
    <row r="233">
      <c r="A233" s="36" t="n">
        <v>44481</v>
      </c>
      <c r="B233" s="25" t="n">
        <v>0.3755226123787402</v>
      </c>
      <c r="C233" s="25" t="n">
        <v>0.3615823619028056</v>
      </c>
      <c r="D233" s="25" t="n">
        <v>0.4039486268615931</v>
      </c>
      <c r="E233" s="25" t="n">
        <v>0.3838751091254557</v>
      </c>
      <c r="F233" s="25" t="n">
        <v>0.3687800201989079</v>
      </c>
      <c r="G233" s="25" t="n">
        <v>0.3868634257280142</v>
      </c>
      <c r="H233" s="25" t="n">
        <v>0.3358907204847738</v>
      </c>
    </row>
    <row r="234">
      <c r="A234" s="36" t="n">
        <v>44482</v>
      </c>
      <c r="B234" s="25" t="n">
        <v>0.3690294021204503</v>
      </c>
      <c r="C234" s="25" t="n">
        <v>0.3609813212094654</v>
      </c>
      <c r="D234" s="25" t="n">
        <v>0.4045360148650126</v>
      </c>
      <c r="E234" s="25" t="n">
        <v>0.3748767528483786</v>
      </c>
      <c r="F234" s="25" t="n">
        <v>0.3658797107800175</v>
      </c>
      <c r="G234" s="25" t="n">
        <v>0.3805708501193546</v>
      </c>
      <c r="H234" s="25" t="n">
        <v>0.3378889132340052</v>
      </c>
    </row>
    <row r="235">
      <c r="A235" s="36" t="n">
        <v>44483</v>
      </c>
      <c r="B235" s="25" t="n">
        <v>0.3730087165614668</v>
      </c>
      <c r="C235" s="25" t="n">
        <v>0.3605802182151819</v>
      </c>
      <c r="D235" s="25" t="n">
        <v>0.4039265513566686</v>
      </c>
      <c r="E235" s="25" t="n">
        <v>0.3698771298575473</v>
      </c>
      <c r="F235" s="25" t="n">
        <v>0.3708767977760812</v>
      </c>
      <c r="G235" s="25" t="n">
        <v>0.3814682959026289</v>
      </c>
      <c r="H235" s="25" t="n">
        <v>0.3248920735235213</v>
      </c>
    </row>
    <row r="236">
      <c r="A236" s="36" t="n">
        <v>44484</v>
      </c>
      <c r="B236" s="25" t="n">
        <v>0.3739958467675829</v>
      </c>
      <c r="C236" s="25" t="n">
        <v>0.3595793192695602</v>
      </c>
      <c r="D236" s="25" t="n">
        <v>0.4050125689928412</v>
      </c>
      <c r="E236" s="25" t="n">
        <v>0.3698758635800314</v>
      </c>
      <c r="F236" s="25" t="n">
        <v>0.3718751925723559</v>
      </c>
      <c r="G236" s="25" t="n">
        <v>0.3769732702251649</v>
      </c>
      <c r="H236" s="25" t="n">
        <v>0.3343877739662716</v>
      </c>
    </row>
    <row r="237">
      <c r="A237" s="36" t="n">
        <v>44487</v>
      </c>
      <c r="B237" s="25" t="n">
        <v>0.3691784377476026</v>
      </c>
      <c r="C237" s="25" t="n">
        <v>0.358376041163844</v>
      </c>
      <c r="D237" s="25" t="n">
        <v>0.3939100024589492</v>
      </c>
      <c r="E237" s="25" t="n">
        <v>0.3728710274870678</v>
      </c>
      <c r="F237" s="25" t="n">
        <v>0.3638741394243772</v>
      </c>
      <c r="G237" s="25" t="n">
        <v>0.3734743221014257</v>
      </c>
      <c r="H237" s="25" t="n">
        <v>0.3308855498611782</v>
      </c>
    </row>
    <row r="238">
      <c r="A238" s="36" t="inlineStr">
        <is>
          <t>Total general</t>
        </is>
      </c>
      <c r="B238" s="25" t="n">
        <v>91.1692367133906</v>
      </c>
      <c r="C238" s="25" t="n">
        <v>86.38710730708631</v>
      </c>
      <c r="D238" s="25" t="n">
        <v>97.98260762843618</v>
      </c>
      <c r="E238" s="25" t="n">
        <v>85.85464342637195</v>
      </c>
      <c r="F238" s="25" t="n">
        <v>82.67611907590071</v>
      </c>
      <c r="G238" s="25" t="n">
        <v>91.29571492817138</v>
      </c>
      <c r="H238" s="25" t="n">
        <v>79.04382632415842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8.xml><?xml version="1.0" encoding="utf-8"?>
<worksheet xmlns="http://schemas.openxmlformats.org/spreadsheetml/2006/main">
  <sheetPr codeName="Hoja2">
    <outlinePr summaryBelow="1" summaryRight="1"/>
    <pageSetUpPr/>
  </sheetPr>
  <dimension ref="A1:B237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  <col width="21" bestFit="1" customWidth="1" style="76" min="3" max="3"/>
  </cols>
  <sheetData>
    <row r="1">
      <c r="A1" s="35" t="inlineStr">
        <is>
          <t>Etiquetas de fila</t>
        </is>
      </c>
      <c r="B1" t="inlineStr">
        <is>
          <t>Suma de g29-41</t>
        </is>
      </c>
    </row>
    <row r="2">
      <c r="A2" s="36" t="n">
        <v>44132</v>
      </c>
      <c r="B2" s="25" t="n">
        <v>0.1451694988987826</v>
      </c>
    </row>
    <row r="3">
      <c r="A3" s="36" t="n">
        <v>44133</v>
      </c>
      <c r="B3" s="25" t="n">
        <v>0.1334677983500155</v>
      </c>
    </row>
    <row r="4">
      <c r="A4" s="36" t="n">
        <v>44134</v>
      </c>
      <c r="B4" s="25" t="n">
        <v>0.1329433707715701</v>
      </c>
    </row>
    <row r="5">
      <c r="A5" s="36" t="n">
        <v>44137</v>
      </c>
      <c r="B5" s="25" t="n">
        <v>0.1150925072120124</v>
      </c>
    </row>
    <row r="6">
      <c r="A6" s="36" t="n">
        <v>44138</v>
      </c>
      <c r="B6" s="25" t="n">
        <v>0.110172849846154</v>
      </c>
    </row>
    <row r="7">
      <c r="A7" s="36" t="n">
        <v>44139</v>
      </c>
      <c r="B7" s="25" t="n">
        <v>0.1173087664680334</v>
      </c>
    </row>
    <row r="8">
      <c r="A8" s="36" t="n">
        <v>44140</v>
      </c>
      <c r="B8" s="25" t="n">
        <v>0.1217634147943457</v>
      </c>
    </row>
    <row r="9">
      <c r="A9" s="36" t="n">
        <v>44141</v>
      </c>
      <c r="B9" s="25" t="n">
        <v>0.1128910379694901</v>
      </c>
    </row>
    <row r="10">
      <c r="A10" s="36" t="n">
        <v>44144</v>
      </c>
      <c r="B10" s="25" t="n">
        <v>0.1152819835307431</v>
      </c>
    </row>
    <row r="11">
      <c r="A11" s="36" t="n">
        <v>44145</v>
      </c>
      <c r="B11" s="25" t="n">
        <v>0.1156992557468683</v>
      </c>
    </row>
    <row r="12">
      <c r="A12" s="36" t="n">
        <v>44146</v>
      </c>
      <c r="B12" s="25" t="n">
        <v>0.1108667990721734</v>
      </c>
    </row>
    <row r="13">
      <c r="A13" s="36" t="n">
        <v>44147</v>
      </c>
      <c r="B13" s="25" t="n">
        <v>0.1087563534832835</v>
      </c>
    </row>
    <row r="14">
      <c r="A14" s="36" t="n">
        <v>44148</v>
      </c>
      <c r="B14" s="25" t="n">
        <v>0.1063427801463448</v>
      </c>
    </row>
    <row r="15">
      <c r="A15" s="36" t="n">
        <v>44151</v>
      </c>
      <c r="B15" s="25" t="n">
        <v>0.1009900743420118</v>
      </c>
    </row>
    <row r="16">
      <c r="A16" s="36" t="n">
        <v>44152</v>
      </c>
      <c r="B16" s="25" t="n">
        <v>0.1016615917918302</v>
      </c>
    </row>
    <row r="17">
      <c r="A17" s="36" t="n">
        <v>44153</v>
      </c>
      <c r="B17" s="25" t="n">
        <v>0.09107424048360802</v>
      </c>
    </row>
    <row r="18">
      <c r="A18" s="36" t="n">
        <v>44154</v>
      </c>
      <c r="B18" s="25" t="n">
        <v>0.09506629533229355</v>
      </c>
    </row>
    <row r="19">
      <c r="A19" s="36" t="n">
        <v>44155</v>
      </c>
      <c r="B19" s="25" t="n">
        <v>0.09062434391497998</v>
      </c>
    </row>
    <row r="20">
      <c r="A20" s="36" t="n">
        <v>44159</v>
      </c>
      <c r="B20" s="25" t="n">
        <v>0.09560066263424277</v>
      </c>
    </row>
    <row r="21">
      <c r="A21" s="36" t="n">
        <v>44160</v>
      </c>
      <c r="B21" s="25" t="n">
        <v>0.09853796174996937</v>
      </c>
    </row>
    <row r="22">
      <c r="A22" s="36" t="n">
        <v>44161</v>
      </c>
      <c r="B22" s="25" t="n">
        <v>0.1045282525070977</v>
      </c>
    </row>
    <row r="23">
      <c r="A23" s="36" t="n">
        <v>44162</v>
      </c>
      <c r="B23" s="25" t="n">
        <v>0.1035161722642554</v>
      </c>
    </row>
    <row r="24">
      <c r="A24" s="36" t="n">
        <v>44165</v>
      </c>
      <c r="B24" s="25" t="n">
        <v>0.0940249872738031</v>
      </c>
    </row>
    <row r="25">
      <c r="A25" s="36" t="n">
        <v>44166</v>
      </c>
      <c r="B25" s="25" t="n">
        <v>0.09862059591196426</v>
      </c>
    </row>
    <row r="26">
      <c r="A26" s="36" t="n">
        <v>44167</v>
      </c>
      <c r="B26" s="25" t="n">
        <v>0.09539549027968158</v>
      </c>
    </row>
    <row r="27">
      <c r="A27" s="36" t="n">
        <v>44168</v>
      </c>
      <c r="B27" s="25" t="n">
        <v>0.09538447998811805</v>
      </c>
    </row>
    <row r="28">
      <c r="A28" s="36" t="n">
        <v>44169</v>
      </c>
      <c r="B28" s="25" t="n">
        <v>0.09465723859163805</v>
      </c>
    </row>
    <row r="29">
      <c r="A29" s="36" t="n">
        <v>44174</v>
      </c>
      <c r="B29" s="25" t="n">
        <v>0.09259089250617775</v>
      </c>
    </row>
    <row r="30">
      <c r="A30" s="36" t="n">
        <v>44175</v>
      </c>
      <c r="B30" s="25" t="n">
        <v>0.08977799281279902</v>
      </c>
    </row>
    <row r="31">
      <c r="A31" s="36" t="n">
        <v>44176</v>
      </c>
      <c r="B31" s="25" t="n">
        <v>0.08997689941120446</v>
      </c>
    </row>
    <row r="32">
      <c r="A32" s="36" t="n">
        <v>44179</v>
      </c>
      <c r="B32" s="25" t="n">
        <v>0.0972798119468774</v>
      </c>
    </row>
    <row r="33">
      <c r="A33" s="36" t="n">
        <v>44180</v>
      </c>
      <c r="B33" s="25" t="n">
        <v>0.09324602644654589</v>
      </c>
    </row>
    <row r="34">
      <c r="A34" s="36" t="n">
        <v>44181</v>
      </c>
      <c r="B34" s="25" t="n">
        <v>0.08901133364937008</v>
      </c>
    </row>
    <row r="35">
      <c r="A35" s="36" t="n">
        <v>44182</v>
      </c>
      <c r="B35" s="25" t="n">
        <v>0.08639817031707381</v>
      </c>
    </row>
    <row r="36">
      <c r="A36" s="36" t="n">
        <v>44183</v>
      </c>
      <c r="B36" s="25" t="n">
        <v>0.08218587604987404</v>
      </c>
    </row>
    <row r="37">
      <c r="A37" s="36" t="n">
        <v>44186</v>
      </c>
      <c r="B37" s="25" t="n">
        <v>0.09050151902223691</v>
      </c>
    </row>
    <row r="38">
      <c r="A38" s="36" t="n">
        <v>44187</v>
      </c>
      <c r="B38" s="25" t="n">
        <v>0.07774002444882222</v>
      </c>
    </row>
    <row r="39">
      <c r="A39" s="36" t="n">
        <v>44188</v>
      </c>
      <c r="B39" s="25" t="n">
        <v>0.0851576281750549</v>
      </c>
    </row>
    <row r="40">
      <c r="A40" s="36" t="n">
        <v>44193</v>
      </c>
      <c r="B40" s="25" t="n">
        <v>0.0851028245102507</v>
      </c>
    </row>
    <row r="41">
      <c r="A41" s="36" t="n">
        <v>44194</v>
      </c>
      <c r="B41" s="25" t="n">
        <v>0.09243278389035348</v>
      </c>
    </row>
    <row r="42">
      <c r="A42" s="36" t="n">
        <v>44195</v>
      </c>
      <c r="B42" s="25" t="n">
        <v>0.09212694224222134</v>
      </c>
    </row>
    <row r="43">
      <c r="A43" s="36" t="n">
        <v>44200</v>
      </c>
      <c r="B43" s="25" t="n">
        <v>0.08508627801917579</v>
      </c>
    </row>
    <row r="44">
      <c r="A44" s="36" t="n">
        <v>44201</v>
      </c>
      <c r="B44" s="25" t="n">
        <v>0.0849616489018063</v>
      </c>
    </row>
    <row r="45">
      <c r="A45" s="36" t="n">
        <v>44202</v>
      </c>
      <c r="B45" s="25" t="n">
        <v>0.09450355558277984</v>
      </c>
    </row>
    <row r="46">
      <c r="A46" s="36" t="n">
        <v>44203</v>
      </c>
      <c r="B46" s="25" t="n">
        <v>0.08344820764964683</v>
      </c>
    </row>
    <row r="47">
      <c r="A47" s="36" t="n">
        <v>44204</v>
      </c>
      <c r="B47" s="25" t="n">
        <v>0.08593906230743809</v>
      </c>
    </row>
    <row r="48">
      <c r="A48" s="36" t="n">
        <v>44207</v>
      </c>
      <c r="B48" s="25" t="n">
        <v>0.0879124685415219</v>
      </c>
    </row>
    <row r="49">
      <c r="A49" s="36" t="n">
        <v>44208</v>
      </c>
      <c r="B49" s="25" t="n">
        <v>0.08499609645634937</v>
      </c>
    </row>
    <row r="50">
      <c r="A50" s="36" t="n">
        <v>44209</v>
      </c>
      <c r="B50" s="25" t="n">
        <v>0.08134864578373513</v>
      </c>
    </row>
    <row r="51">
      <c r="A51" s="36" t="n">
        <v>44210</v>
      </c>
      <c r="B51" s="25" t="n">
        <v>0.08041469531796785</v>
      </c>
    </row>
    <row r="52">
      <c r="A52" s="36" t="n">
        <v>44211</v>
      </c>
      <c r="B52" s="25" t="n">
        <v>0.08532160940574451</v>
      </c>
    </row>
    <row r="53">
      <c r="A53" s="36" t="n">
        <v>44214</v>
      </c>
      <c r="B53" s="25" t="n">
        <v>0.08378933554260892</v>
      </c>
    </row>
    <row r="54">
      <c r="A54" s="36" t="n">
        <v>44215</v>
      </c>
      <c r="B54" s="25" t="n">
        <v>0.0943303625262939</v>
      </c>
    </row>
    <row r="55">
      <c r="A55" s="36" t="n">
        <v>44216</v>
      </c>
      <c r="B55" s="25" t="n">
        <v>0.09180872485149028</v>
      </c>
    </row>
    <row r="56">
      <c r="A56" s="36" t="n">
        <v>44217</v>
      </c>
      <c r="B56" s="25" t="n">
        <v>0.09830912587065621</v>
      </c>
    </row>
    <row r="57">
      <c r="A57" s="36" t="n">
        <v>44218</v>
      </c>
      <c r="B57" s="25" t="n">
        <v>0.09981744793290204</v>
      </c>
    </row>
    <row r="58">
      <c r="A58" s="36" t="n">
        <v>44221</v>
      </c>
      <c r="B58" s="25" t="n">
        <v>0.09947949434349029</v>
      </c>
    </row>
    <row r="59">
      <c r="A59" s="36" t="n">
        <v>44222</v>
      </c>
      <c r="B59" s="25" t="n">
        <v>0.09725872675685721</v>
      </c>
    </row>
    <row r="60">
      <c r="A60" s="36" t="n">
        <v>44223</v>
      </c>
      <c r="B60" s="25" t="n">
        <v>0.09283960176778733</v>
      </c>
    </row>
    <row r="61">
      <c r="A61" s="36" t="n">
        <v>44224</v>
      </c>
      <c r="B61" s="25" t="n">
        <v>0.09472993194746804</v>
      </c>
    </row>
    <row r="62">
      <c r="A62" s="36" t="n">
        <v>44225</v>
      </c>
      <c r="B62" s="25" t="n">
        <v>0.0968203600800846</v>
      </c>
    </row>
    <row r="63">
      <c r="A63" s="36" t="n">
        <v>44228</v>
      </c>
      <c r="B63" s="25" t="n">
        <v>0.09568755568196857</v>
      </c>
    </row>
    <row r="64">
      <c r="A64" s="36" t="n">
        <v>44229</v>
      </c>
      <c r="B64" s="25" t="n">
        <v>0.09366629355663042</v>
      </c>
    </row>
    <row r="65">
      <c r="A65" s="36" t="n">
        <v>44230</v>
      </c>
      <c r="B65" s="25" t="n">
        <v>0.09063523782118943</v>
      </c>
    </row>
    <row r="66">
      <c r="A66" s="36" t="n">
        <v>44231</v>
      </c>
      <c r="B66" s="25" t="n">
        <v>0.09224422423248929</v>
      </c>
    </row>
    <row r="67">
      <c r="A67" s="36" t="n">
        <v>44232</v>
      </c>
      <c r="B67" s="25" t="n">
        <v>0.09936587582388284</v>
      </c>
    </row>
    <row r="68">
      <c r="A68" s="36" t="n">
        <v>44235</v>
      </c>
      <c r="B68" s="25" t="n">
        <v>0.09581691827586253</v>
      </c>
    </row>
    <row r="69">
      <c r="A69" s="36" t="n">
        <v>44236</v>
      </c>
      <c r="B69" s="25" t="n">
        <v>0.09279305968965706</v>
      </c>
    </row>
    <row r="70">
      <c r="A70" s="36" t="n">
        <v>44237</v>
      </c>
      <c r="B70" s="25" t="n">
        <v>0.09528366795466603</v>
      </c>
    </row>
    <row r="71">
      <c r="A71" s="36" t="n">
        <v>44238</v>
      </c>
      <c r="B71" s="25" t="n">
        <v>0.09196240801353128</v>
      </c>
    </row>
    <row r="72">
      <c r="A72" s="36" t="n">
        <v>44239</v>
      </c>
      <c r="B72" s="25" t="n">
        <v>0.09957864243375125</v>
      </c>
    </row>
    <row r="73">
      <c r="A73" s="36" t="n">
        <v>44244</v>
      </c>
      <c r="B73" s="25" t="n">
        <v>0.09699614895194347</v>
      </c>
    </row>
    <row r="74">
      <c r="A74" s="36" t="n">
        <v>44245</v>
      </c>
      <c r="B74" s="25" t="n">
        <v>0.09487776371116868</v>
      </c>
    </row>
    <row r="75">
      <c r="A75" s="36" t="n">
        <v>44246</v>
      </c>
      <c r="B75" s="25" t="n">
        <v>0.09356695245177227</v>
      </c>
    </row>
    <row r="76">
      <c r="A76" s="36" t="n">
        <v>44249</v>
      </c>
      <c r="B76" s="25" t="n">
        <v>0.09804376694746908</v>
      </c>
    </row>
    <row r="77">
      <c r="A77" s="36" t="n">
        <v>44250</v>
      </c>
      <c r="B77" s="25" t="n">
        <v>0.09201074564097433</v>
      </c>
    </row>
    <row r="78">
      <c r="A78" s="36" t="n">
        <v>44251</v>
      </c>
      <c r="B78" s="25" t="n">
        <v>0.0853875281211911</v>
      </c>
    </row>
    <row r="79">
      <c r="A79" s="36" t="n">
        <v>44252</v>
      </c>
      <c r="B79" s="25" t="n">
        <v>0.08939517329268515</v>
      </c>
    </row>
    <row r="80">
      <c r="A80" s="36" t="n">
        <v>44253</v>
      </c>
      <c r="B80" s="25" t="n">
        <v>0.08536688971101586</v>
      </c>
    </row>
    <row r="81">
      <c r="A81" s="36" t="n">
        <v>44256</v>
      </c>
      <c r="B81" s="25" t="n">
        <v>0.0843354913575361</v>
      </c>
    </row>
    <row r="82">
      <c r="A82" s="36" t="n">
        <v>44257</v>
      </c>
      <c r="B82" s="25" t="n">
        <v>0.08881164324313545</v>
      </c>
    </row>
    <row r="83">
      <c r="A83" s="36" t="n">
        <v>44258</v>
      </c>
      <c r="B83" s="25" t="n">
        <v>0.08839355925497072</v>
      </c>
    </row>
    <row r="84">
      <c r="A84" s="36" t="n">
        <v>44259</v>
      </c>
      <c r="B84" s="25" t="n">
        <v>0.08227006276502941</v>
      </c>
    </row>
    <row r="85">
      <c r="A85" s="36" t="n">
        <v>44260</v>
      </c>
      <c r="B85" s="25" t="n">
        <v>0.06359438070815382</v>
      </c>
    </row>
    <row r="86">
      <c r="A86" s="36" t="n">
        <v>44263</v>
      </c>
      <c r="B86" s="25" t="n">
        <v>0.07921088911602886</v>
      </c>
    </row>
    <row r="87">
      <c r="A87" s="36" t="n">
        <v>44264</v>
      </c>
      <c r="B87" s="25" t="n">
        <v>0.0643507867219314</v>
      </c>
    </row>
    <row r="88">
      <c r="A88" s="36" t="n">
        <v>44265</v>
      </c>
      <c r="B88" s="25" t="n">
        <v>0.05690040175835143</v>
      </c>
    </row>
    <row r="89">
      <c r="A89" s="36" t="n">
        <v>44266</v>
      </c>
      <c r="B89" s="25" t="n">
        <v>0.05809754255233635</v>
      </c>
    </row>
    <row r="90">
      <c r="A90" s="36" t="n">
        <v>44267</v>
      </c>
      <c r="B90" s="25" t="n">
        <v>0.05410391198252645</v>
      </c>
    </row>
    <row r="91">
      <c r="A91" s="36" t="n">
        <v>44270</v>
      </c>
      <c r="B91" s="25" t="n">
        <v>0.05360090267814854</v>
      </c>
    </row>
    <row r="92">
      <c r="A92" s="36" t="n">
        <v>44271</v>
      </c>
      <c r="B92" s="25" t="n">
        <v>0.06613199367097855</v>
      </c>
    </row>
    <row r="93">
      <c r="A93" s="36" t="n">
        <v>44272</v>
      </c>
      <c r="B93" s="25" t="n">
        <v>0.06211671449354922</v>
      </c>
    </row>
    <row r="94">
      <c r="A94" s="36" t="n">
        <v>44273</v>
      </c>
      <c r="B94" s="25" t="n">
        <v>0.05950424761341677</v>
      </c>
    </row>
    <row r="95">
      <c r="A95" s="36" t="n">
        <v>44274</v>
      </c>
      <c r="B95" s="25" t="n">
        <v>0.05458744309075897</v>
      </c>
    </row>
    <row r="96">
      <c r="A96" s="36" t="n">
        <v>44277</v>
      </c>
      <c r="B96" s="25" t="n">
        <v>0.05256795909809758</v>
      </c>
    </row>
    <row r="97">
      <c r="A97" s="36" t="n">
        <v>44278</v>
      </c>
      <c r="B97" s="25" t="n">
        <v>0.04855664913052143</v>
      </c>
    </row>
    <row r="98">
      <c r="A98" s="36" t="n">
        <v>44280</v>
      </c>
      <c r="B98" s="25" t="n">
        <v>0.04310471929121917</v>
      </c>
    </row>
    <row r="99">
      <c r="A99" s="36" t="n">
        <v>44281</v>
      </c>
      <c r="B99" s="25" t="n">
        <v>0.0485044762982611</v>
      </c>
    </row>
    <row r="100">
      <c r="A100" s="36" t="n">
        <v>44284</v>
      </c>
      <c r="B100" s="25" t="n">
        <v>0.04404986651176568</v>
      </c>
    </row>
    <row r="101">
      <c r="A101" s="36" t="n">
        <v>44285</v>
      </c>
      <c r="B101" s="25" t="n">
        <v>0.04293990195224084</v>
      </c>
    </row>
    <row r="102">
      <c r="A102" s="36" t="n">
        <v>44286</v>
      </c>
      <c r="B102" s="25" t="n">
        <v>0.05395237107017686</v>
      </c>
    </row>
    <row r="103">
      <c r="A103" s="36" t="n">
        <v>44291</v>
      </c>
      <c r="B103" s="25" t="n">
        <v>0.05680533052018211</v>
      </c>
    </row>
    <row r="104">
      <c r="A104" s="36" t="n">
        <v>44292</v>
      </c>
      <c r="B104" s="25" t="n">
        <v>0.05789296381002645</v>
      </c>
    </row>
    <row r="105">
      <c r="A105" s="36" t="n">
        <v>44293</v>
      </c>
      <c r="B105" s="25" t="n">
        <v>0.04786236458130511</v>
      </c>
    </row>
    <row r="106">
      <c r="A106" s="36" t="n">
        <v>44294</v>
      </c>
      <c r="B106" s="25" t="n">
        <v>0.04494352608776686</v>
      </c>
    </row>
    <row r="107">
      <c r="A107" s="36" t="n">
        <v>44295</v>
      </c>
      <c r="B107" s="25" t="n">
        <v>0.04724073680005542</v>
      </c>
    </row>
    <row r="108">
      <c r="A108" s="36" t="n">
        <v>44298</v>
      </c>
      <c r="B108" s="25" t="n">
        <v>0.05183188993131721</v>
      </c>
    </row>
    <row r="109">
      <c r="A109" s="36" t="n">
        <v>44299</v>
      </c>
      <c r="B109" s="25" t="n">
        <v>0.06485347198599117</v>
      </c>
    </row>
    <row r="110">
      <c r="A110" s="36" t="n">
        <v>44300</v>
      </c>
      <c r="B110" s="25" t="n">
        <v>0.05802716324074081</v>
      </c>
    </row>
    <row r="111">
      <c r="A111" s="36" t="n">
        <v>44301</v>
      </c>
      <c r="B111" s="25" t="n">
        <v>0.05981395835017672</v>
      </c>
    </row>
    <row r="112">
      <c r="A112" s="36" t="n">
        <v>44302</v>
      </c>
      <c r="B112" s="25" t="n">
        <v>0.05840213810408684</v>
      </c>
    </row>
    <row r="113">
      <c r="A113" s="36" t="n">
        <v>44305</v>
      </c>
      <c r="B113" s="25" t="n">
        <v>0.06238231642204339</v>
      </c>
    </row>
    <row r="114">
      <c r="A114" s="36" t="n">
        <v>44306</v>
      </c>
      <c r="B114" s="25" t="n">
        <v>0.06427392450580749</v>
      </c>
    </row>
    <row r="115">
      <c r="A115" s="36" t="n">
        <v>44307</v>
      </c>
      <c r="B115" s="25" t="n">
        <v>0.06075663554561828</v>
      </c>
    </row>
    <row r="116">
      <c r="A116" s="36" t="n">
        <v>44308</v>
      </c>
      <c r="B116" s="25" t="n">
        <v>0.06426296537680315</v>
      </c>
    </row>
    <row r="117">
      <c r="A117" s="36" t="n">
        <v>44309</v>
      </c>
      <c r="B117" s="25" t="n">
        <v>0.07025381843925904</v>
      </c>
    </row>
    <row r="118">
      <c r="A118" s="36" t="n">
        <v>44312</v>
      </c>
      <c r="B118" s="25" t="n">
        <v>0.06771930444180568</v>
      </c>
    </row>
    <row r="119">
      <c r="A119" s="36" t="n">
        <v>44313</v>
      </c>
      <c r="B119" s="25" t="n">
        <v>0.0652071835594169</v>
      </c>
    </row>
    <row r="120">
      <c r="A120" s="36" t="n">
        <v>44314</v>
      </c>
      <c r="B120" s="25" t="n">
        <v>0.06169401698893212</v>
      </c>
    </row>
    <row r="121">
      <c r="A121" s="36" t="n">
        <v>44315</v>
      </c>
      <c r="B121" s="25" t="n">
        <v>0.07019410046478991</v>
      </c>
    </row>
    <row r="122">
      <c r="A122" s="36" t="n">
        <v>44316</v>
      </c>
      <c r="B122" s="25" t="n">
        <v>0.0611703737107005</v>
      </c>
    </row>
    <row r="123">
      <c r="A123" s="36" t="n">
        <v>44319</v>
      </c>
      <c r="B123" s="25" t="n">
        <v>0.07075280149889895</v>
      </c>
    </row>
    <row r="124">
      <c r="A124" s="36" t="n">
        <v>44320</v>
      </c>
      <c r="B124" s="25" t="n">
        <v>0.03838896666014452</v>
      </c>
    </row>
    <row r="125">
      <c r="A125" s="36" t="n">
        <v>44321</v>
      </c>
      <c r="B125" s="25" t="n">
        <v>0.06011826961928662</v>
      </c>
    </row>
    <row r="126">
      <c r="A126" s="36" t="n">
        <v>44322</v>
      </c>
      <c r="B126" s="25" t="n">
        <v>0.06771732321571888</v>
      </c>
    </row>
    <row r="127">
      <c r="A127" s="36" t="n">
        <v>44323</v>
      </c>
      <c r="B127" s="25" t="n">
        <v>0.06560115315200604</v>
      </c>
    </row>
    <row r="128">
      <c r="A128" s="36" t="n">
        <v>44326</v>
      </c>
      <c r="B128" s="25" t="n">
        <v>0.07308410345057598</v>
      </c>
    </row>
    <row r="129">
      <c r="A129" s="36" t="n">
        <v>44327</v>
      </c>
      <c r="B129" s="25" t="n">
        <v>0.06876384672813013</v>
      </c>
    </row>
    <row r="130">
      <c r="A130" s="36" t="n">
        <v>44328</v>
      </c>
      <c r="B130" s="25" t="n">
        <v>0.06995966540257087</v>
      </c>
    </row>
    <row r="131">
      <c r="A131" s="36" t="n">
        <v>44329</v>
      </c>
      <c r="B131" s="25" t="n">
        <v>0.06554256987726187</v>
      </c>
    </row>
    <row r="132">
      <c r="A132" s="36" t="n">
        <v>44330</v>
      </c>
      <c r="B132" s="25" t="n">
        <v>0.06504356290171959</v>
      </c>
    </row>
    <row r="133">
      <c r="A133" s="36" t="n">
        <v>44333</v>
      </c>
      <c r="B133" s="25" t="n">
        <v>0.06963050339531623</v>
      </c>
    </row>
    <row r="134">
      <c r="A134" s="36" t="n">
        <v>44334</v>
      </c>
      <c r="B134" s="25" t="n">
        <v>0.06801457459672089</v>
      </c>
    </row>
    <row r="135">
      <c r="A135" s="36" t="n">
        <v>44335</v>
      </c>
      <c r="B135" s="25" t="n">
        <v>0.06550239016907305</v>
      </c>
    </row>
    <row r="136">
      <c r="A136" s="36" t="n">
        <v>44336</v>
      </c>
      <c r="B136" s="25" t="n">
        <v>0.07349629554452802</v>
      </c>
    </row>
    <row r="137">
      <c r="A137" s="36" t="n">
        <v>44337</v>
      </c>
      <c r="B137" s="25" t="n">
        <v>0.06988575074978948</v>
      </c>
    </row>
    <row r="138">
      <c r="A138" s="36" t="n">
        <v>44342</v>
      </c>
      <c r="B138" s="25" t="n">
        <v>0.05943771980959861</v>
      </c>
    </row>
    <row r="139">
      <c r="A139" s="36" t="n">
        <v>44343</v>
      </c>
      <c r="B139" s="25" t="n">
        <v>0.05793166650775045</v>
      </c>
    </row>
    <row r="140">
      <c r="A140" s="36" t="n">
        <v>44344</v>
      </c>
      <c r="B140" s="25" t="n">
        <v>0.05451114513151806</v>
      </c>
    </row>
    <row r="141">
      <c r="A141" s="36" t="n">
        <v>44347</v>
      </c>
      <c r="B141" s="25" t="n">
        <v>0.06138725125722205</v>
      </c>
    </row>
    <row r="142">
      <c r="A142" s="36" t="n">
        <v>44348</v>
      </c>
      <c r="B142" s="25" t="n">
        <v>0.05937978608794564</v>
      </c>
    </row>
    <row r="143">
      <c r="A143" s="36" t="n">
        <v>44349</v>
      </c>
      <c r="B143" s="25" t="n">
        <v>0.06578035956342665</v>
      </c>
    </row>
    <row r="144">
      <c r="A144" s="36" t="n">
        <v>44350</v>
      </c>
      <c r="B144" s="25" t="n">
        <v>0.07337014150926863</v>
      </c>
    </row>
    <row r="145">
      <c r="A145" s="36" t="n">
        <v>44351</v>
      </c>
      <c r="B145" s="25" t="n">
        <v>0.0715590451972532</v>
      </c>
    </row>
    <row r="146">
      <c r="A146" s="36" t="n">
        <v>44354</v>
      </c>
      <c r="B146" s="25" t="n">
        <v>0.07033286949740086</v>
      </c>
    </row>
    <row r="147">
      <c r="A147" s="36" t="n">
        <v>44355</v>
      </c>
      <c r="B147" s="25" t="n">
        <v>0.06632314867216715</v>
      </c>
    </row>
    <row r="148">
      <c r="A148" s="36" t="n">
        <v>44356</v>
      </c>
      <c r="B148" s="25" t="n">
        <v>0.07632454021878116</v>
      </c>
    </row>
    <row r="149">
      <c r="A149" s="36" t="n">
        <v>44357</v>
      </c>
      <c r="B149" s="25" t="n">
        <v>0.07031311679243685</v>
      </c>
    </row>
    <row r="150">
      <c r="A150" s="36" t="n">
        <v>44358</v>
      </c>
      <c r="B150" s="25" t="n">
        <v>0.0723085486339306</v>
      </c>
    </row>
    <row r="151">
      <c r="A151" s="36" t="n">
        <v>44361</v>
      </c>
      <c r="B151" s="25" t="n">
        <v>0.07277760690192131</v>
      </c>
    </row>
    <row r="152">
      <c r="A152" s="36" t="n">
        <v>44362</v>
      </c>
      <c r="B152" s="25" t="n">
        <v>0.05745803982831443</v>
      </c>
    </row>
    <row r="153">
      <c r="A153" s="36" t="n">
        <v>44363</v>
      </c>
      <c r="B153" s="25" t="n">
        <v>0.06324497874651203</v>
      </c>
    </row>
    <row r="154">
      <c r="A154" s="36" t="n">
        <v>44364</v>
      </c>
      <c r="B154" s="25" t="n">
        <v>0.06123205868378601</v>
      </c>
    </row>
    <row r="155">
      <c r="A155" s="36" t="n">
        <v>44365</v>
      </c>
      <c r="B155" s="25" t="n">
        <v>0.06322215144781335</v>
      </c>
    </row>
    <row r="156">
      <c r="A156" s="36" t="n">
        <v>44369</v>
      </c>
      <c r="B156" s="25" t="n">
        <v>0.05967532997598801</v>
      </c>
    </row>
    <row r="157">
      <c r="A157" s="36" t="n">
        <v>44370</v>
      </c>
      <c r="B157" s="25" t="n">
        <v>0.05616270902805387</v>
      </c>
    </row>
    <row r="158">
      <c r="A158" s="36" t="n">
        <v>44371</v>
      </c>
      <c r="B158" s="25" t="n">
        <v>0.04964896336986196</v>
      </c>
    </row>
    <row r="159">
      <c r="A159" s="36" t="n">
        <v>44372</v>
      </c>
      <c r="B159" s="25" t="n">
        <v>0.05263682177017298</v>
      </c>
    </row>
    <row r="160">
      <c r="A160" s="36" t="n">
        <v>44375</v>
      </c>
      <c r="B160" s="25" t="n">
        <v>0.06010909452428814</v>
      </c>
    </row>
    <row r="161">
      <c r="A161" s="36" t="n">
        <v>44376</v>
      </c>
      <c r="B161" s="25" t="n">
        <v>0.05409657035315751</v>
      </c>
    </row>
    <row r="162">
      <c r="A162" s="36" t="n">
        <v>44377</v>
      </c>
      <c r="B162" s="25" t="n">
        <v>0.05658709564784459</v>
      </c>
    </row>
    <row r="163">
      <c r="A163" s="36" t="n">
        <v>44378</v>
      </c>
      <c r="B163" s="25" t="n">
        <v>0.05657827923595632</v>
      </c>
    </row>
    <row r="164">
      <c r="A164" s="36" t="n">
        <v>44379</v>
      </c>
      <c r="B164" s="25" t="n">
        <v>0.04956782091155598</v>
      </c>
    </row>
    <row r="165">
      <c r="A165" s="36" t="n">
        <v>44382</v>
      </c>
      <c r="B165" s="25" t="n">
        <v>0.04653856632872388</v>
      </c>
    </row>
    <row r="166">
      <c r="A166" s="36" t="n">
        <v>44383</v>
      </c>
      <c r="B166" s="25" t="n">
        <v>0.0520291601866299</v>
      </c>
    </row>
    <row r="167">
      <c r="A167" s="36" t="n">
        <v>44384</v>
      </c>
      <c r="B167" s="25" t="n">
        <v>0.04201893950789837</v>
      </c>
    </row>
    <row r="168">
      <c r="A168" s="36" t="n">
        <v>44385</v>
      </c>
      <c r="B168" s="25" t="n">
        <v>0.03990949583688058</v>
      </c>
    </row>
    <row r="169">
      <c r="A169" s="36" t="n">
        <v>44389</v>
      </c>
      <c r="B169" s="25" t="n">
        <v>0.03897144610049963</v>
      </c>
    </row>
    <row r="170">
      <c r="A170" s="36" t="n">
        <v>44390</v>
      </c>
      <c r="B170" s="25" t="n">
        <v>0.03306185670775913</v>
      </c>
    </row>
    <row r="171">
      <c r="A171" s="36" t="n">
        <v>44391</v>
      </c>
      <c r="B171" s="25" t="n">
        <v>0.03215211004460955</v>
      </c>
    </row>
    <row r="172">
      <c r="A172" s="36" t="n">
        <v>44392</v>
      </c>
      <c r="B172" s="25" t="n">
        <v>0.03144254818967784</v>
      </c>
    </row>
    <row r="173">
      <c r="A173" s="36" t="n">
        <v>44393</v>
      </c>
      <c r="B173" s="25" t="n">
        <v>0.0295326681584227</v>
      </c>
    </row>
    <row r="174">
      <c r="A174" s="36" t="n">
        <v>44396</v>
      </c>
      <c r="B174" s="25" t="n">
        <v>0.03290324868997263</v>
      </c>
    </row>
    <row r="175">
      <c r="A175" s="36" t="n">
        <v>44397</v>
      </c>
      <c r="B175" s="25" t="n">
        <v>0.03289094071175958</v>
      </c>
    </row>
    <row r="176">
      <c r="A176" s="36" t="n">
        <v>44398</v>
      </c>
      <c r="B176" s="25" t="n">
        <v>0.021883926197377</v>
      </c>
    </row>
    <row r="177">
      <c r="A177" s="36" t="n">
        <v>44399</v>
      </c>
      <c r="B177" s="25" t="n">
        <v>0.02377245928833399</v>
      </c>
    </row>
    <row r="178">
      <c r="A178" s="36" t="n">
        <v>44400</v>
      </c>
      <c r="B178" s="25" t="n">
        <v>0.02036298340665865</v>
      </c>
    </row>
    <row r="179">
      <c r="A179" s="36" t="n">
        <v>44403</v>
      </c>
      <c r="B179" s="25" t="n">
        <v>0.02233352155605955</v>
      </c>
    </row>
    <row r="180">
      <c r="A180" s="36" t="n">
        <v>44404</v>
      </c>
      <c r="B180" s="25" t="n">
        <v>0.0198249663680406</v>
      </c>
    </row>
    <row r="181">
      <c r="A181" s="36" t="n">
        <v>44405</v>
      </c>
      <c r="B181" s="25" t="n">
        <v>0.02281505274085982</v>
      </c>
    </row>
    <row r="182">
      <c r="A182" s="36" t="n">
        <v>44406</v>
      </c>
      <c r="B182" s="25" t="n">
        <v>0.02830159384573055</v>
      </c>
    </row>
    <row r="183">
      <c r="A183" s="36" t="n">
        <v>44407</v>
      </c>
      <c r="B183" s="25" t="n">
        <v>0.02779221895488559</v>
      </c>
    </row>
    <row r="184">
      <c r="A184" s="36" t="n">
        <v>44409</v>
      </c>
      <c r="B184" s="25" t="n">
        <v>0.02427492376356444</v>
      </c>
    </row>
    <row r="185">
      <c r="A185" s="36" t="n">
        <v>44410</v>
      </c>
      <c r="B185" s="25" t="n">
        <v>0.02086824154283817</v>
      </c>
    </row>
    <row r="186">
      <c r="A186" s="36" t="n">
        <v>44411</v>
      </c>
      <c r="B186" s="25" t="n">
        <v>0.02875498163271512</v>
      </c>
    </row>
    <row r="187">
      <c r="A187" s="36" t="n">
        <v>44412</v>
      </c>
      <c r="B187" s="25" t="n">
        <v>0.03824122891844028</v>
      </c>
    </row>
    <row r="188">
      <c r="A188" s="36" t="n">
        <v>44413</v>
      </c>
      <c r="B188" s="25" t="n">
        <v>0.03373558075373112</v>
      </c>
    </row>
    <row r="189">
      <c r="A189" s="36" t="n">
        <v>44417</v>
      </c>
      <c r="B189" s="25" t="n">
        <v>0.02939949953964333</v>
      </c>
    </row>
    <row r="190">
      <c r="A190" s="36" t="n">
        <v>44418</v>
      </c>
      <c r="B190" s="25" t="n">
        <v>0.02968633391434478</v>
      </c>
    </row>
    <row r="191">
      <c r="A191" s="36" t="n">
        <v>44419</v>
      </c>
      <c r="B191" s="25" t="n">
        <v>0.02917659821858665</v>
      </c>
    </row>
    <row r="192">
      <c r="A192" s="36" t="n">
        <v>44420</v>
      </c>
      <c r="B192" s="25" t="n">
        <v>0.02766535453875091</v>
      </c>
    </row>
    <row r="193">
      <c r="A193" s="36" t="n">
        <v>44421</v>
      </c>
      <c r="B193" s="25" t="n">
        <v>0.03165588128415098</v>
      </c>
    </row>
    <row r="194">
      <c r="A194" s="36" t="n">
        <v>44425</v>
      </c>
      <c r="B194" s="25" t="n">
        <v>0.0337236968393882</v>
      </c>
    </row>
    <row r="195">
      <c r="A195" s="36" t="n">
        <v>44426</v>
      </c>
      <c r="B195" s="25" t="n">
        <v>0.03301233599973974</v>
      </c>
    </row>
    <row r="196">
      <c r="A196" s="36" t="n">
        <v>44427</v>
      </c>
      <c r="B196" s="25" t="n">
        <v>0.03260271266272674</v>
      </c>
    </row>
    <row r="197">
      <c r="A197" s="36" t="n">
        <v>44428</v>
      </c>
      <c r="B197" s="25" t="n">
        <v>0.02360438493740696</v>
      </c>
    </row>
    <row r="198">
      <c r="A198" s="36" t="n">
        <v>44431</v>
      </c>
      <c r="B198" s="25" t="n">
        <v>0.02956446832229098</v>
      </c>
    </row>
    <row r="199">
      <c r="A199" s="36" t="n">
        <v>44432</v>
      </c>
      <c r="B199" s="25" t="n">
        <v>0.03804245280520085</v>
      </c>
    </row>
    <row r="200">
      <c r="A200" s="36" t="n">
        <v>44433</v>
      </c>
      <c r="B200" s="25" t="n">
        <v>0.04202737628873293</v>
      </c>
    </row>
    <row r="201">
      <c r="A201" s="36" t="n">
        <v>44434</v>
      </c>
      <c r="B201" s="25" t="n">
        <v>0.04551331293104055</v>
      </c>
    </row>
    <row r="202">
      <c r="A202" s="36" t="n">
        <v>44435</v>
      </c>
      <c r="B202" s="25" t="n">
        <v>0.0466982958208586</v>
      </c>
    </row>
    <row r="203">
      <c r="A203" s="36" t="n">
        <v>44438</v>
      </c>
      <c r="B203" s="25" t="n">
        <v>0.04246339720659509</v>
      </c>
    </row>
    <row r="204">
      <c r="A204" s="36" t="n">
        <v>44439</v>
      </c>
      <c r="B204" s="25" t="n">
        <v>0.03645925728907068</v>
      </c>
    </row>
    <row r="205">
      <c r="A205" s="36" t="n">
        <v>44440</v>
      </c>
      <c r="B205" s="25" t="n">
        <v>0.0384435320963411</v>
      </c>
    </row>
    <row r="206">
      <c r="A206" s="36" t="n">
        <v>44441</v>
      </c>
      <c r="B206" s="25" t="n">
        <v>0.04142083306441996</v>
      </c>
    </row>
    <row r="207">
      <c r="A207" s="36" t="n">
        <v>44442</v>
      </c>
      <c r="B207" s="25" t="n">
        <v>0.02942803336572447</v>
      </c>
    </row>
    <row r="208">
      <c r="A208" s="36" t="n">
        <v>44445</v>
      </c>
      <c r="B208" s="25" t="n">
        <v>0.03338958030307998</v>
      </c>
    </row>
    <row r="209">
      <c r="A209" s="36" t="n">
        <v>44446</v>
      </c>
      <c r="B209" s="25" t="n">
        <v>0.03537525299423655</v>
      </c>
    </row>
    <row r="210">
      <c r="A210" s="36" t="n">
        <v>44447</v>
      </c>
      <c r="B210" s="25" t="n">
        <v>0.03387247109668462</v>
      </c>
    </row>
    <row r="211">
      <c r="A211" s="36" t="n">
        <v>44448</v>
      </c>
      <c r="B211" s="25" t="n">
        <v>0.02887439057927516</v>
      </c>
    </row>
    <row r="212">
      <c r="A212" s="36" t="n">
        <v>44449</v>
      </c>
      <c r="B212" s="25" t="n">
        <v>0.02736464305398834</v>
      </c>
    </row>
    <row r="213">
      <c r="A213" s="36" t="n">
        <v>44452</v>
      </c>
      <c r="B213" s="25" t="n">
        <v>0.03830590999295352</v>
      </c>
    </row>
    <row r="214">
      <c r="A214" s="36" t="n">
        <v>44453</v>
      </c>
      <c r="B214" s="25" t="n">
        <v>0.03530251452744615</v>
      </c>
    </row>
    <row r="215">
      <c r="A215" s="36" t="n">
        <v>44454</v>
      </c>
      <c r="B215" s="25" t="n">
        <v>0.04128259528015688</v>
      </c>
    </row>
    <row r="216">
      <c r="A216" s="36" t="n">
        <v>44455</v>
      </c>
      <c r="B216" s="25" t="n">
        <v>0.03678138343555937</v>
      </c>
    </row>
    <row r="217">
      <c r="A217" s="36" t="n">
        <v>44456</v>
      </c>
      <c r="B217" s="25" t="n">
        <v>0.04276118053329447</v>
      </c>
    </row>
    <row r="218">
      <c r="A218" s="36" t="n">
        <v>44459</v>
      </c>
      <c r="B218" s="25" t="n">
        <v>0.04922796247046018</v>
      </c>
    </row>
    <row r="219">
      <c r="A219" s="36" t="n">
        <v>44460</v>
      </c>
      <c r="B219" s="25" t="n">
        <v>0.02626394613548733</v>
      </c>
    </row>
    <row r="220">
      <c r="A220" s="36" t="n">
        <v>44461</v>
      </c>
      <c r="B220" s="25" t="n">
        <v>0.03224710012953835</v>
      </c>
    </row>
    <row r="221">
      <c r="A221" s="36" t="n">
        <v>44462</v>
      </c>
      <c r="B221" s="25" t="n">
        <v>0.03433817416087498</v>
      </c>
    </row>
    <row r="222">
      <c r="A222" s="36" t="n">
        <v>44463</v>
      </c>
      <c r="B222" s="25" t="n">
        <v>0.028739041697879</v>
      </c>
    </row>
    <row r="223">
      <c r="A223" s="36" t="n">
        <v>44466</v>
      </c>
      <c r="B223" s="25" t="n">
        <v>0.03221233380640193</v>
      </c>
    </row>
    <row r="224">
      <c r="A224" s="36" t="n">
        <v>44467</v>
      </c>
      <c r="B224" s="25" t="n">
        <v>0.03219282754093039</v>
      </c>
    </row>
    <row r="225">
      <c r="A225" s="36" t="n">
        <v>44468</v>
      </c>
      <c r="B225" s="25" t="n">
        <v>0.03867027811966045</v>
      </c>
    </row>
    <row r="226">
      <c r="A226" s="36" t="n">
        <v>44469</v>
      </c>
      <c r="B226" s="25" t="n">
        <v>0.03816727343514797</v>
      </c>
    </row>
    <row r="227">
      <c r="A227" s="36" t="n">
        <v>44470</v>
      </c>
      <c r="B227" s="25" t="n">
        <v>0.0489405024630184</v>
      </c>
    </row>
    <row r="228">
      <c r="A228" s="36" t="n">
        <v>44473</v>
      </c>
      <c r="B228" s="25" t="n">
        <v>0.04312367882509788</v>
      </c>
    </row>
    <row r="229">
      <c r="A229" s="36" t="n">
        <v>44474</v>
      </c>
      <c r="B229" s="25" t="n">
        <v>0.04230966632761735</v>
      </c>
    </row>
    <row r="230">
      <c r="A230" s="36" t="n">
        <v>44475</v>
      </c>
      <c r="B230" s="25" t="n">
        <v>0.04709811366444844</v>
      </c>
    </row>
    <row r="231">
      <c r="A231" s="36" t="n">
        <v>44476</v>
      </c>
      <c r="B231" s="25" t="n">
        <v>0.04110491744847111</v>
      </c>
    </row>
    <row r="232">
      <c r="A232" s="36" t="n">
        <v>44481</v>
      </c>
      <c r="B232" s="25" t="n">
        <v>0.03516860666268523</v>
      </c>
    </row>
    <row r="233">
      <c r="A233" s="36" t="n">
        <v>44482</v>
      </c>
      <c r="B233" s="25" t="n">
        <v>0.0386563040849951</v>
      </c>
    </row>
    <row r="234">
      <c r="A234" s="36" t="n">
        <v>44483</v>
      </c>
      <c r="B234" s="25" t="n">
        <v>0.03304975358058737</v>
      </c>
    </row>
    <row r="235">
      <c r="A235" s="36" t="n">
        <v>44484</v>
      </c>
      <c r="B235" s="25" t="n">
        <v>0.03313737642048525</v>
      </c>
    </row>
    <row r="236">
      <c r="A236" s="36" t="n">
        <v>44487</v>
      </c>
      <c r="B236" s="25" t="n">
        <v>0.03003586303457201</v>
      </c>
    </row>
    <row r="237">
      <c r="A237" s="36" t="inlineStr">
        <is>
          <t>Total general</t>
        </is>
      </c>
      <c r="B237" t="n">
        <v>15.30648855253556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Hoja3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customWidth="1" style="76" min="2" max="2"/>
    <col width="9.7109375" bestFit="1" customWidth="1" style="76" min="3" max="21"/>
    <col width="10.7109375" customWidth="1" style="76" min="22" max="35"/>
    <col width="9.7109375" bestFit="1" customWidth="1" style="76" min="36" max="41"/>
    <col width="10.7109375" customWidth="1" style="76" min="42" max="55"/>
    <col width="9.7109375" bestFit="1" customWidth="1" style="76" min="56" max="60"/>
    <col width="10.7109375" customWidth="1" style="76" min="61" max="73"/>
    <col width="8.7109375" bestFit="1" customWidth="1" style="76" min="74" max="78"/>
    <col width="9.7109375" bestFit="1" customWidth="1" style="76" min="79" max="93"/>
    <col width="8.7109375" bestFit="1" customWidth="1" style="76" min="94" max="100"/>
    <col width="9.7109375" bestFit="1" customWidth="1" style="76" min="101" max="111"/>
    <col width="8.7109375" bestFit="1" customWidth="1" style="76" min="112" max="118"/>
    <col width="9.7109375" bestFit="1" customWidth="1" style="76" min="119" max="133"/>
    <col width="8.7109375" bestFit="1" customWidth="1" style="76" min="134" max="138"/>
    <col width="9.7109375" bestFit="1" customWidth="1" style="76" min="139" max="153"/>
    <col width="8.7109375" bestFit="1" customWidth="1" style="76" min="154" max="158"/>
    <col width="9.7109375" bestFit="1" customWidth="1" style="76" min="159" max="172"/>
    <col width="8.7109375" bestFit="1" customWidth="1" style="76" min="173" max="179"/>
    <col width="9.7109375" bestFit="1" customWidth="1" style="76" min="180" max="193"/>
    <col width="8.7109375" bestFit="1" customWidth="1" style="76" min="194" max="199"/>
    <col width="9.7109375" bestFit="1" customWidth="1" style="76" min="200" max="204"/>
    <col width="12.5703125" bestFit="1" customWidth="1" style="76" min="205" max="205"/>
  </cols>
  <sheetData>
    <row r="1">
      <c r="A1" s="35" t="inlineStr">
        <is>
          <t>Etiquetas de fila</t>
        </is>
      </c>
      <c r="B1" t="inlineStr">
        <is>
          <t>Suma de g29-29</t>
        </is>
      </c>
    </row>
    <row r="2">
      <c r="A2" s="36" t="n">
        <v>44088</v>
      </c>
      <c r="B2" t="n">
        <v>0.01966051599359153</v>
      </c>
    </row>
    <row r="3">
      <c r="A3" s="36" t="n">
        <v>44089</v>
      </c>
      <c r="B3" t="n">
        <v>0.02369278789050633</v>
      </c>
    </row>
    <row r="4">
      <c r="A4" s="36" t="n">
        <v>44090</v>
      </c>
      <c r="B4" t="n">
        <v>0.02167578168158213</v>
      </c>
    </row>
    <row r="5">
      <c r="A5" s="36" t="n">
        <v>44091</v>
      </c>
      <c r="B5" t="n">
        <v>-0.005040740229250107</v>
      </c>
    </row>
    <row r="6">
      <c r="A6" s="36" t="n">
        <v>44092</v>
      </c>
      <c r="B6" t="n">
        <v>0.001008120201071661</v>
      </c>
    </row>
    <row r="7">
      <c r="A7" s="36" t="n">
        <v>44095</v>
      </c>
      <c r="B7" t="n">
        <v>-0.004032146703858153</v>
      </c>
    </row>
    <row r="8">
      <c r="A8" s="36" t="n">
        <v>44096</v>
      </c>
      <c r="B8" t="n">
        <v>0.005040044186688797</v>
      </c>
    </row>
    <row r="9">
      <c r="A9" s="36" t="n">
        <v>44097</v>
      </c>
      <c r="B9" t="n">
        <v>-0.005039905001242684</v>
      </c>
    </row>
    <row r="10">
      <c r="A10" s="36" t="n">
        <v>44098</v>
      </c>
      <c r="B10" t="n">
        <v>0.002318292278802592</v>
      </c>
    </row>
    <row r="11">
      <c r="A11" s="36" t="n">
        <v>44099</v>
      </c>
      <c r="B11" t="n">
        <v>0.01572363515864472</v>
      </c>
    </row>
    <row r="12">
      <c r="A12" s="36" t="n">
        <v>44102</v>
      </c>
      <c r="B12" t="n">
        <v>0.02025762094102052</v>
      </c>
    </row>
    <row r="13">
      <c r="A13" s="36" t="n">
        <v>44103</v>
      </c>
      <c r="B13" t="n">
        <v>0.01511721014992962</v>
      </c>
    </row>
    <row r="14">
      <c r="A14" s="36" t="n">
        <v>44104</v>
      </c>
      <c r="B14" t="n">
        <v>0.02055883814677784</v>
      </c>
    </row>
    <row r="15">
      <c r="A15" s="36" t="n">
        <v>44105</v>
      </c>
      <c r="B15" t="n">
        <v>0.02086059802865903</v>
      </c>
    </row>
    <row r="16">
      <c r="A16" s="36" t="n">
        <v>44106</v>
      </c>
      <c r="B16" t="n">
        <v>0.01884456101601323</v>
      </c>
    </row>
    <row r="17">
      <c r="A17" s="36" t="n">
        <v>44109</v>
      </c>
      <c r="B17" t="n">
        <v>0.02619882395163292</v>
      </c>
    </row>
    <row r="18">
      <c r="A18" s="36" t="n">
        <v>44110</v>
      </c>
      <c r="B18" t="n">
        <v>0.02317524293286222</v>
      </c>
    </row>
    <row r="19">
      <c r="A19" s="36" t="n">
        <v>44111</v>
      </c>
      <c r="B19" t="n">
        <v>0.02277156659765361</v>
      </c>
    </row>
    <row r="20">
      <c r="A20" s="36" t="n">
        <v>44112</v>
      </c>
      <c r="B20" t="n">
        <v>0.03455943245183019</v>
      </c>
    </row>
    <row r="21">
      <c r="A21" s="36" t="n">
        <v>44113</v>
      </c>
      <c r="B21" t="n">
        <v>0.02992381373009079</v>
      </c>
    </row>
    <row r="22">
      <c r="A22" s="36" t="n">
        <v>44117</v>
      </c>
      <c r="B22" t="n">
        <v>0.02971902514421348</v>
      </c>
    </row>
    <row r="23">
      <c r="A23" s="36" t="n">
        <v>44118</v>
      </c>
      <c r="B23" t="n">
        <v>0.03525888717156106</v>
      </c>
    </row>
    <row r="24">
      <c r="A24" s="36" t="n">
        <v>44119</v>
      </c>
      <c r="B24" t="n">
        <v>0.01914001048767694</v>
      </c>
    </row>
    <row r="25">
      <c r="A25" s="36" t="n">
        <v>44120</v>
      </c>
      <c r="B25" t="n">
        <v>0.02719821162444114</v>
      </c>
    </row>
    <row r="26">
      <c r="A26" s="36" t="n">
        <v>44123</v>
      </c>
      <c r="B26" t="n">
        <v>0.01601539862571405</v>
      </c>
    </row>
    <row r="27">
      <c r="A27" s="36" t="n">
        <v>44124</v>
      </c>
      <c r="B27" t="n">
        <v>0.02820243942822448</v>
      </c>
    </row>
    <row r="28">
      <c r="A28" s="36" t="n">
        <v>44125</v>
      </c>
      <c r="B28" t="n">
        <v>0.03142470818731202</v>
      </c>
    </row>
    <row r="29">
      <c r="A29" s="36" t="n">
        <v>44126</v>
      </c>
      <c r="B29" t="n">
        <v>0.05942328918322298</v>
      </c>
    </row>
    <row r="30">
      <c r="A30" s="36" t="n">
        <v>44127</v>
      </c>
      <c r="B30" t="n">
        <v>0.05378162854225876</v>
      </c>
    </row>
    <row r="31">
      <c r="A31" s="36" t="n">
        <v>44130</v>
      </c>
      <c r="B31" t="n">
        <v>0.06485487253062572</v>
      </c>
    </row>
    <row r="32">
      <c r="A32" s="36" t="n">
        <v>44131</v>
      </c>
      <c r="B32" t="n">
        <v>0.02014070906331911</v>
      </c>
    </row>
    <row r="33">
      <c r="A33" s="36" t="n">
        <v>44132</v>
      </c>
      <c r="B33" t="n">
        <v>0.03826629145284993</v>
      </c>
    </row>
    <row r="34">
      <c r="A34" s="36" t="n">
        <v>44133</v>
      </c>
      <c r="B34" t="n">
        <v>0.01258724859988414</v>
      </c>
    </row>
    <row r="35">
      <c r="A35" s="36" t="n">
        <v>44134</v>
      </c>
      <c r="B35" t="n">
        <v>0.01611123372323991</v>
      </c>
    </row>
    <row r="36">
      <c r="A36" s="36" t="n">
        <v>44137</v>
      </c>
      <c r="B36" t="n">
        <v>0.01127693029157817</v>
      </c>
    </row>
    <row r="37">
      <c r="A37" s="36" t="n">
        <v>44138</v>
      </c>
      <c r="B37" t="n">
        <v>-0.0004027364007502809</v>
      </c>
    </row>
    <row r="38">
      <c r="A38" s="36" t="n">
        <v>44139</v>
      </c>
      <c r="B38" t="n">
        <v>0.005537472760875017</v>
      </c>
    </row>
    <row r="39">
      <c r="A39" s="36" t="n">
        <v>44140</v>
      </c>
      <c r="B39" t="n">
        <v>0.01006785458156345</v>
      </c>
    </row>
    <row r="40">
      <c r="A40" s="36" t="n">
        <v>44141</v>
      </c>
      <c r="B40" t="n">
        <v>0.001912839608329941</v>
      </c>
    </row>
    <row r="41">
      <c r="A41" s="36" t="n">
        <v>44144</v>
      </c>
      <c r="B41" t="n">
        <v>0.003020023167300989</v>
      </c>
    </row>
    <row r="42">
      <c r="A42" s="36" t="n">
        <v>44145</v>
      </c>
      <c r="B42" t="n">
        <v>0.01348906478391576</v>
      </c>
    </row>
    <row r="43">
      <c r="A43" s="36" t="n">
        <v>44146</v>
      </c>
      <c r="B43" t="n">
        <v>0.01409266409266419</v>
      </c>
    </row>
    <row r="44">
      <c r="A44" s="36" t="n">
        <v>44147</v>
      </c>
      <c r="B44" t="n">
        <v>0.02264829982625965</v>
      </c>
    </row>
    <row r="45">
      <c r="A45" s="36" t="n">
        <v>44148</v>
      </c>
      <c r="B45" t="n">
        <v>0.01258204180685013</v>
      </c>
    </row>
    <row r="46">
      <c r="A46" s="36" t="n">
        <v>44151</v>
      </c>
      <c r="B46" t="n">
        <v>0.01016544877981523</v>
      </c>
    </row>
    <row r="47">
      <c r="A47" s="36" t="n">
        <v>44152</v>
      </c>
      <c r="B47" t="n">
        <v>0.01660646335410582</v>
      </c>
    </row>
    <row r="48">
      <c r="A48" s="36" t="n">
        <v>44153</v>
      </c>
      <c r="B48" t="n">
        <v>0.01006424573303555</v>
      </c>
    </row>
    <row r="49">
      <c r="A49" s="36" t="n">
        <v>44154</v>
      </c>
      <c r="B49" t="n">
        <v>0.02214073012021622</v>
      </c>
    </row>
    <row r="50">
      <c r="A50" s="36" t="n">
        <v>44155</v>
      </c>
      <c r="B50" t="n">
        <v>0.01821528026689456</v>
      </c>
    </row>
    <row r="51">
      <c r="A51" s="36" t="n">
        <v>44159</v>
      </c>
      <c r="B51" t="n">
        <v>0.01670388443194665</v>
      </c>
    </row>
    <row r="52">
      <c r="A52" s="36" t="n">
        <v>44160</v>
      </c>
      <c r="B52" t="n">
        <v>0.01620030876109607</v>
      </c>
    </row>
    <row r="53">
      <c r="A53" s="36" t="n">
        <v>44161</v>
      </c>
      <c r="B53" t="n">
        <v>0.019117849758787</v>
      </c>
    </row>
    <row r="54">
      <c r="A54" s="36" t="n">
        <v>44162</v>
      </c>
      <c r="B54" t="n">
        <v>0.02143152497519024</v>
      </c>
    </row>
    <row r="55">
      <c r="A55" s="36" t="n">
        <v>44165</v>
      </c>
      <c r="B55" t="n">
        <v>0.01971939689627605</v>
      </c>
    </row>
    <row r="56">
      <c r="A56" s="36" t="n">
        <v>44166</v>
      </c>
      <c r="B56" t="n">
        <v>0.02374310915104738</v>
      </c>
    </row>
    <row r="57">
      <c r="A57" s="36" t="n">
        <v>44167</v>
      </c>
      <c r="B57" t="n">
        <v>0.02253521126760566</v>
      </c>
    </row>
    <row r="58">
      <c r="A58" s="36" t="n">
        <v>44168</v>
      </c>
      <c r="B58" t="n">
        <v>0.02213218675927459</v>
      </c>
    </row>
    <row r="59">
      <c r="A59" s="36" t="n">
        <v>44169</v>
      </c>
      <c r="B59" t="n">
        <v>0.01951602678940556</v>
      </c>
    </row>
    <row r="60">
      <c r="A60" s="36" t="n">
        <v>44174</v>
      </c>
      <c r="B60" t="n">
        <v>0.01810515873015872</v>
      </c>
    </row>
    <row r="61">
      <c r="A61" s="36" t="n">
        <v>44175</v>
      </c>
      <c r="B61" t="n">
        <v>0.01388023919093945</v>
      </c>
    </row>
    <row r="62">
      <c r="A62" s="36" t="n">
        <v>44176</v>
      </c>
      <c r="B62" t="n">
        <v>0.01780242491044359</v>
      </c>
    </row>
    <row r="63">
      <c r="A63" s="36" t="n">
        <v>44179</v>
      </c>
      <c r="B63" t="n">
        <v>0.02212547874245718</v>
      </c>
    </row>
    <row r="64">
      <c r="A64" s="36" t="n">
        <v>44180</v>
      </c>
      <c r="B64" t="n">
        <v>0.02162203118972827</v>
      </c>
    </row>
    <row r="65">
      <c r="A65" s="36" t="n">
        <v>44181</v>
      </c>
      <c r="B65" t="n">
        <v>0.01940900950544155</v>
      </c>
    </row>
    <row r="66">
      <c r="A66" s="36" t="n">
        <v>44182</v>
      </c>
      <c r="B66" t="n">
        <v>0.01910678862684589</v>
      </c>
    </row>
    <row r="67">
      <c r="A67" s="36" t="n">
        <v>44183</v>
      </c>
      <c r="B67" t="n">
        <v>0.01759787310246025</v>
      </c>
    </row>
    <row r="68">
      <c r="A68" s="36" t="n">
        <v>44186</v>
      </c>
      <c r="B68" t="n">
        <v>0.02181955922865014</v>
      </c>
    </row>
    <row r="69">
      <c r="A69" s="36" t="n">
        <v>44187</v>
      </c>
      <c r="B69" t="n">
        <v>0.01216633150601909</v>
      </c>
    </row>
    <row r="70">
      <c r="A70" s="36" t="n">
        <v>44188</v>
      </c>
      <c r="B70" t="n">
        <v>0.01739435843755166</v>
      </c>
    </row>
    <row r="71">
      <c r="A71" s="36" t="n">
        <v>44193</v>
      </c>
      <c r="B71" t="n">
        <v>0.01769355771614289</v>
      </c>
    </row>
    <row r="72">
      <c r="A72" s="36" t="n">
        <v>44194</v>
      </c>
      <c r="B72" t="n">
        <v>0.02442850060592711</v>
      </c>
    </row>
    <row r="73">
      <c r="A73" s="36" t="n">
        <v>44195</v>
      </c>
      <c r="B73" t="n">
        <v>0.02563414029579442</v>
      </c>
    </row>
    <row r="74">
      <c r="A74" s="36" t="n">
        <v>44200</v>
      </c>
      <c r="B74" t="n">
        <v>0.01758963485157239</v>
      </c>
    </row>
    <row r="75">
      <c r="A75" s="36" t="n">
        <v>44201</v>
      </c>
      <c r="B75" t="n">
        <v>0.01557896186148972</v>
      </c>
    </row>
    <row r="76">
      <c r="A76" s="36" t="n">
        <v>44202</v>
      </c>
      <c r="B76" t="n">
        <v>0.02361906597642915</v>
      </c>
    </row>
    <row r="77">
      <c r="A77" s="36" t="n">
        <v>44203</v>
      </c>
      <c r="B77" t="n">
        <v>0.0177891896357078</v>
      </c>
    </row>
    <row r="78">
      <c r="A78" s="36" t="n">
        <v>44204</v>
      </c>
      <c r="B78" t="n">
        <v>0.02160774271710997</v>
      </c>
    </row>
    <row r="79">
      <c r="A79" s="36" t="n">
        <v>44207</v>
      </c>
      <c r="B79" t="n">
        <v>0.02341482888686985</v>
      </c>
    </row>
    <row r="80">
      <c r="A80" s="36" t="n">
        <v>44208</v>
      </c>
      <c r="B80" t="n">
        <v>0.02070095259071636</v>
      </c>
    </row>
    <row r="81">
      <c r="A81" s="36" t="n">
        <v>44209</v>
      </c>
      <c r="B81" t="n">
        <v>0.01668089089557584</v>
      </c>
    </row>
    <row r="82">
      <c r="A82" s="36" t="n">
        <v>44210</v>
      </c>
      <c r="B82" t="n">
        <v>0.0143692875234005</v>
      </c>
    </row>
    <row r="83">
      <c r="A83" s="36" t="n">
        <v>44211</v>
      </c>
      <c r="B83" t="n">
        <v>0.01929249827942192</v>
      </c>
    </row>
    <row r="84">
      <c r="A84" s="36" t="n">
        <v>44214</v>
      </c>
      <c r="B84" t="n">
        <v>0.01908995815899578</v>
      </c>
    </row>
    <row r="85">
      <c r="A85" s="36" t="n">
        <v>44215</v>
      </c>
      <c r="B85" t="n">
        <v>0.02913650251864902</v>
      </c>
    </row>
    <row r="86">
      <c r="A86" s="36" t="n">
        <v>44216</v>
      </c>
      <c r="B86" t="n">
        <v>0.02913570052298375</v>
      </c>
    </row>
    <row r="87">
      <c r="A87" s="36" t="n">
        <v>44217</v>
      </c>
      <c r="B87" t="n">
        <v>0.03164652775866339</v>
      </c>
    </row>
    <row r="88">
      <c r="A88" s="36" t="n">
        <v>44218</v>
      </c>
      <c r="B88" t="n">
        <v>0.03516184080149731</v>
      </c>
    </row>
    <row r="89">
      <c r="A89" s="36" t="n">
        <v>44221</v>
      </c>
      <c r="B89" t="n">
        <v>0.03495802944819043</v>
      </c>
    </row>
    <row r="90">
      <c r="A90" s="36" t="n">
        <v>44222</v>
      </c>
      <c r="B90" t="n">
        <v>0.03314894319682954</v>
      </c>
    </row>
    <row r="91">
      <c r="A91" s="36" t="n">
        <v>44223</v>
      </c>
      <c r="B91" t="n">
        <v>0.03174175083248476</v>
      </c>
    </row>
    <row r="92">
      <c r="A92" s="36" t="n">
        <v>44224</v>
      </c>
      <c r="B92" t="n">
        <v>0.03565826407617367</v>
      </c>
    </row>
    <row r="93">
      <c r="A93" s="36" t="n">
        <v>44225</v>
      </c>
      <c r="B93" t="n">
        <v>0.03465285230743831</v>
      </c>
    </row>
    <row r="94">
      <c r="A94" s="36" t="n">
        <v>44228</v>
      </c>
      <c r="B94" t="n">
        <v>0.03233999229541573</v>
      </c>
    </row>
    <row r="95">
      <c r="A95" s="36" t="n">
        <v>44229</v>
      </c>
      <c r="B95" t="n">
        <v>0.02912527859560299</v>
      </c>
    </row>
    <row r="96">
      <c r="A96" s="36" t="n">
        <v>44230</v>
      </c>
      <c r="B96" t="n">
        <v>0.02661374642306846</v>
      </c>
    </row>
    <row r="97">
      <c r="A97" s="36" t="n">
        <v>44231</v>
      </c>
      <c r="B97" t="n">
        <v>0.03283945522080067</v>
      </c>
    </row>
    <row r="98">
      <c r="A98" s="36" t="n">
        <v>44232</v>
      </c>
      <c r="B98" t="n">
        <v>0.04057117702085516</v>
      </c>
    </row>
    <row r="99">
      <c r="A99" s="36" t="n">
        <v>44235</v>
      </c>
      <c r="B99" t="n">
        <v>0.03584830394233685</v>
      </c>
    </row>
    <row r="100">
      <c r="A100" s="36" t="n">
        <v>44236</v>
      </c>
      <c r="B100" t="n">
        <v>0.03343741403026135</v>
      </c>
    </row>
    <row r="101">
      <c r="A101" s="36" t="n">
        <v>44237</v>
      </c>
      <c r="B101" t="n">
        <v>0.03403895353635389</v>
      </c>
    </row>
    <row r="102">
      <c r="A102" s="36" t="n">
        <v>44238</v>
      </c>
      <c r="B102" t="n">
        <v>0.03464045994718307</v>
      </c>
    </row>
    <row r="103">
      <c r="A103" s="36" t="n">
        <v>44239</v>
      </c>
      <c r="B103" t="n">
        <v>0.04216983467664298</v>
      </c>
    </row>
    <row r="104">
      <c r="A104" s="36" t="n">
        <v>44244</v>
      </c>
      <c r="B104" t="n">
        <v>0.03724489795918368</v>
      </c>
    </row>
    <row r="105">
      <c r="A105" s="36" t="n">
        <v>44245</v>
      </c>
      <c r="B105" t="n">
        <v>0.03262603481943949</v>
      </c>
    </row>
    <row r="106">
      <c r="A106" s="36" t="n">
        <v>44246</v>
      </c>
      <c r="B106" t="n">
        <v>0.03674092409240931</v>
      </c>
    </row>
    <row r="107">
      <c r="A107" s="36" t="n">
        <v>44249</v>
      </c>
      <c r="B107" t="n">
        <v>0.04165635398619477</v>
      </c>
    </row>
    <row r="108">
      <c r="A108" s="36" t="n">
        <v>44250</v>
      </c>
      <c r="B108" t="n">
        <v>0.0412537124628754</v>
      </c>
    </row>
    <row r="109">
      <c r="A109" s="36" t="n">
        <v>44251</v>
      </c>
      <c r="B109" t="n">
        <v>0.03613364498831295</v>
      </c>
    </row>
    <row r="110">
      <c r="A110" s="36" t="n">
        <v>44252</v>
      </c>
      <c r="B110" t="n">
        <v>0.04095033822801514</v>
      </c>
    </row>
    <row r="111">
      <c r="A111" s="36" t="n">
        <v>44253</v>
      </c>
      <c r="B111" t="n">
        <v>0.0346261720790827</v>
      </c>
    </row>
    <row r="112">
      <c r="A112" s="36" t="n">
        <v>44256</v>
      </c>
      <c r="B112" t="n">
        <v>0.03321831179543583</v>
      </c>
    </row>
    <row r="113">
      <c r="A113" s="36" t="n">
        <v>44257</v>
      </c>
      <c r="B113" t="n">
        <v>0.03321739847680849</v>
      </c>
    </row>
    <row r="114">
      <c r="A114" s="36" t="n">
        <v>44258</v>
      </c>
      <c r="B114" t="n">
        <v>0.03261437369405035</v>
      </c>
    </row>
    <row r="115">
      <c r="A115" s="36" t="n">
        <v>44259</v>
      </c>
      <c r="B115" t="n">
        <v>0.02609078162373191</v>
      </c>
    </row>
    <row r="116">
      <c r="A116" s="36" t="n">
        <v>44260</v>
      </c>
      <c r="B116" t="n">
        <v>0.009934293726288013</v>
      </c>
    </row>
    <row r="117">
      <c r="A117" s="36" t="n">
        <v>44263</v>
      </c>
      <c r="B117" t="n">
        <v>0.02919839458998813</v>
      </c>
    </row>
    <row r="118">
      <c r="A118" s="36" t="n">
        <v>44264</v>
      </c>
      <c r="B118" t="n">
        <v>0.02056875034361422</v>
      </c>
    </row>
    <row r="119">
      <c r="A119" s="36" t="n">
        <v>44265</v>
      </c>
      <c r="B119" t="n">
        <v>0.02006652189449953</v>
      </c>
    </row>
    <row r="120">
      <c r="A120" s="36" t="n">
        <v>44266</v>
      </c>
      <c r="B120" t="n">
        <v>0.02257421660252884</v>
      </c>
    </row>
    <row r="121">
      <c r="A121" s="36" t="n">
        <v>44267</v>
      </c>
      <c r="B121" t="n">
        <v>0.02297490448310929</v>
      </c>
    </row>
    <row r="122">
      <c r="A122" s="36" t="n">
        <v>44270</v>
      </c>
      <c r="B122" t="n">
        <v>0.02227077836411617</v>
      </c>
    </row>
    <row r="123">
      <c r="A123" s="36" t="n">
        <v>44271</v>
      </c>
      <c r="B123" t="n">
        <v>0.03350556548028039</v>
      </c>
    </row>
    <row r="124">
      <c r="A124" s="36" t="n">
        <v>44272</v>
      </c>
      <c r="B124" t="n">
        <v>0.03019430550211621</v>
      </c>
    </row>
    <row r="125">
      <c r="A125" s="36" t="n">
        <v>44273</v>
      </c>
      <c r="B125" t="n">
        <v>0.03079533899469589</v>
      </c>
    </row>
    <row r="126">
      <c r="A126" s="36" t="n">
        <v>44274</v>
      </c>
      <c r="B126" t="n">
        <v>0.02608002638232387</v>
      </c>
    </row>
    <row r="127">
      <c r="A127" s="36" t="n">
        <v>44277</v>
      </c>
      <c r="B127" t="n">
        <v>0.02457338352889454</v>
      </c>
    </row>
    <row r="128">
      <c r="A128" s="36" t="n">
        <v>44278</v>
      </c>
      <c r="B128" t="n">
        <v>0.02758161134315235</v>
      </c>
    </row>
    <row r="129">
      <c r="A129" s="36" t="n">
        <v>44280</v>
      </c>
      <c r="B129" t="n">
        <v>0.02417019288893779</v>
      </c>
    </row>
    <row r="130">
      <c r="A130" s="36" t="n">
        <v>44281</v>
      </c>
      <c r="B130" t="n">
        <v>0.02607501030361314</v>
      </c>
    </row>
    <row r="131">
      <c r="A131" s="36" t="n">
        <v>44284</v>
      </c>
      <c r="B131" t="n">
        <v>0.01935408538930711</v>
      </c>
    </row>
    <row r="132">
      <c r="A132" s="36" t="n">
        <v>44285</v>
      </c>
      <c r="B132" t="n">
        <v>0.02306382043462735</v>
      </c>
    </row>
    <row r="133">
      <c r="A133" s="36" t="n">
        <v>44286</v>
      </c>
      <c r="B133" t="n">
        <v>0.0285782967032967</v>
      </c>
    </row>
    <row r="134">
      <c r="A134" s="36" t="n">
        <v>44291</v>
      </c>
      <c r="B134" t="n">
        <v>0.02686993544842747</v>
      </c>
    </row>
    <row r="135">
      <c r="A135" s="36" t="n">
        <v>44292</v>
      </c>
      <c r="B135" t="n">
        <v>0.0280722957754217</v>
      </c>
    </row>
    <row r="136">
      <c r="A136" s="36" t="n">
        <v>44293</v>
      </c>
      <c r="B136" t="n">
        <v>0.02115389897547176</v>
      </c>
    </row>
    <row r="137">
      <c r="A137" s="36" t="n">
        <v>44294</v>
      </c>
      <c r="B137" t="n">
        <v>0.01634118874972529</v>
      </c>
    </row>
    <row r="138">
      <c r="A138" s="36" t="n">
        <v>44295</v>
      </c>
      <c r="B138" t="n">
        <v>0.02155373671345001</v>
      </c>
    </row>
    <row r="139">
      <c r="A139" s="36" t="n">
        <v>44298</v>
      </c>
      <c r="B139" t="n">
        <v>0.02355679446336373</v>
      </c>
    </row>
    <row r="140">
      <c r="A140" s="36" t="n">
        <v>44299</v>
      </c>
      <c r="B140" t="n">
        <v>0.03508362398044651</v>
      </c>
    </row>
    <row r="141">
      <c r="A141" s="36" t="n">
        <v>44300</v>
      </c>
      <c r="B141" t="n">
        <v>0.02836683693085085</v>
      </c>
    </row>
    <row r="142">
      <c r="A142" s="36" t="n">
        <v>44301</v>
      </c>
      <c r="B142" t="n">
        <v>0.02906769188521213</v>
      </c>
    </row>
    <row r="143">
      <c r="A143" s="36" t="n">
        <v>44302</v>
      </c>
      <c r="B143" t="n">
        <v>0.02716251098418271</v>
      </c>
    </row>
    <row r="144">
      <c r="A144" s="36" t="n">
        <v>44305</v>
      </c>
      <c r="B144" t="n">
        <v>0.03116916993876823</v>
      </c>
    </row>
    <row r="145">
      <c r="A145" s="36" t="n">
        <v>44306</v>
      </c>
      <c r="B145" t="n">
        <v>0.03207029104887432</v>
      </c>
    </row>
    <row r="146">
      <c r="A146" s="36" t="n">
        <v>44307</v>
      </c>
      <c r="B146" t="n">
        <v>0.02605639603525439</v>
      </c>
    </row>
    <row r="147">
      <c r="A147" s="36" t="n">
        <v>44308</v>
      </c>
      <c r="B147" t="n">
        <v>0.03206853000933496</v>
      </c>
    </row>
    <row r="148">
      <c r="A148" s="36" t="n">
        <v>44309</v>
      </c>
      <c r="B148" t="n">
        <v>0.03206764956208991</v>
      </c>
    </row>
    <row r="149">
      <c r="A149" s="36" t="n">
        <v>44312</v>
      </c>
      <c r="B149" t="n">
        <v>0.02665403832427382</v>
      </c>
    </row>
    <row r="150">
      <c r="A150" s="36" t="n">
        <v>44313</v>
      </c>
      <c r="B150" t="n">
        <v>0.02424849699398801</v>
      </c>
    </row>
    <row r="151">
      <c r="A151" s="36" t="n">
        <v>44314</v>
      </c>
      <c r="B151" t="n">
        <v>0.02003953003184361</v>
      </c>
    </row>
    <row r="152">
      <c r="A152" s="36" t="n">
        <v>44315</v>
      </c>
      <c r="B152" t="n">
        <v>0.02905652090367572</v>
      </c>
    </row>
    <row r="153">
      <c r="A153" s="36" t="n">
        <v>44316</v>
      </c>
      <c r="B153" t="n">
        <v>0.02154131210540761</v>
      </c>
    </row>
    <row r="154">
      <c r="A154" s="36" t="n">
        <v>44319</v>
      </c>
      <c r="B154" t="n">
        <v>0.02795130788021849</v>
      </c>
    </row>
    <row r="155">
      <c r="A155" s="36" t="n">
        <v>44320</v>
      </c>
      <c r="B155" t="n">
        <v>-0.001402536092660667</v>
      </c>
    </row>
    <row r="156">
      <c r="A156" s="36" t="n">
        <v>44321</v>
      </c>
      <c r="B156" t="n">
        <v>0.02153835597639631</v>
      </c>
    </row>
    <row r="157">
      <c r="A157" s="36" t="n">
        <v>44322</v>
      </c>
      <c r="B157" t="n">
        <v>0.02664672302118787</v>
      </c>
    </row>
    <row r="158">
      <c r="A158" s="36" t="n">
        <v>44323</v>
      </c>
      <c r="B158" t="n">
        <v>0.02504322529297143</v>
      </c>
    </row>
    <row r="159">
      <c r="A159" s="36" t="n">
        <v>44326</v>
      </c>
      <c r="B159" t="n">
        <v>0.03105104281009885</v>
      </c>
    </row>
    <row r="160">
      <c r="A160" s="36" t="n">
        <v>44327</v>
      </c>
      <c r="B160" t="n">
        <v>0.02834581926950408</v>
      </c>
    </row>
    <row r="161">
      <c r="A161" s="36" t="n">
        <v>44328</v>
      </c>
      <c r="B161" t="n">
        <v>0.02884583722078915</v>
      </c>
    </row>
    <row r="162">
      <c r="A162" s="36" t="n">
        <v>44329</v>
      </c>
      <c r="B162" t="n">
        <v>0.02263534835222125</v>
      </c>
    </row>
    <row r="163">
      <c r="A163" s="36" t="n">
        <v>44330</v>
      </c>
      <c r="B163" t="n">
        <v>0.02083196136538251</v>
      </c>
    </row>
    <row r="164">
      <c r="A164" s="36" t="n">
        <v>44333</v>
      </c>
      <c r="B164" t="n">
        <v>0.02653853540757817</v>
      </c>
    </row>
    <row r="165">
      <c r="A165" s="36" t="n">
        <v>44334</v>
      </c>
      <c r="B165" t="n">
        <v>0.02253210052677784</v>
      </c>
    </row>
    <row r="166">
      <c r="A166" s="36" t="n">
        <v>44335</v>
      </c>
      <c r="B166" t="n">
        <v>0.02653707920656256</v>
      </c>
    </row>
    <row r="167">
      <c r="A167" s="36" t="n">
        <v>44336</v>
      </c>
      <c r="B167" t="n">
        <v>0.03014128943758571</v>
      </c>
    </row>
    <row r="168">
      <c r="A168" s="36" t="n">
        <v>44337</v>
      </c>
      <c r="B168" t="n">
        <v>0.03374530191215602</v>
      </c>
    </row>
    <row r="169">
      <c r="A169" s="36" t="n">
        <v>44342</v>
      </c>
      <c r="B169" t="n">
        <v>0.02833415624314239</v>
      </c>
    </row>
    <row r="170">
      <c r="A170" s="36" t="n">
        <v>44343</v>
      </c>
      <c r="B170" t="n">
        <v>0.02903420467948542</v>
      </c>
    </row>
    <row r="171">
      <c r="A171" s="36" t="n">
        <v>44344</v>
      </c>
      <c r="B171" t="n">
        <v>0.02372730264962425</v>
      </c>
    </row>
    <row r="172">
      <c r="A172" s="36" t="n">
        <v>44347</v>
      </c>
      <c r="B172" t="n">
        <v>0.02903101944543485</v>
      </c>
    </row>
    <row r="173">
      <c r="A173" s="36" t="n">
        <v>44348</v>
      </c>
      <c r="B173" t="n">
        <v>0.02953074433656955</v>
      </c>
    </row>
    <row r="174">
      <c r="A174" s="36" t="n">
        <v>44349</v>
      </c>
      <c r="B174" t="n">
        <v>0.03553602281765073</v>
      </c>
    </row>
    <row r="175">
      <c r="A175" s="36" t="n">
        <v>44350</v>
      </c>
      <c r="B175" t="n">
        <v>0.03603554190434394</v>
      </c>
    </row>
    <row r="176">
      <c r="A176" s="36" t="n">
        <v>44351</v>
      </c>
      <c r="B176" t="n">
        <v>0.03683532154120389</v>
      </c>
    </row>
    <row r="177">
      <c r="A177" s="36" t="n">
        <v>44354</v>
      </c>
      <c r="B177" t="n">
        <v>0.04183667873203906</v>
      </c>
    </row>
    <row r="178">
      <c r="A178" s="36" t="n">
        <v>44355</v>
      </c>
      <c r="B178" t="n">
        <v>0.0375318763881653</v>
      </c>
    </row>
    <row r="179">
      <c r="A179" s="36" t="n">
        <v>44356</v>
      </c>
      <c r="B179" t="n">
        <v>0.04703866191390182</v>
      </c>
    </row>
    <row r="180">
      <c r="A180" s="36" t="n">
        <v>44357</v>
      </c>
      <c r="B180" t="n">
        <v>0.04503578185407586</v>
      </c>
    </row>
    <row r="181">
      <c r="A181" s="36" t="n">
        <v>44358</v>
      </c>
      <c r="B181" t="n">
        <v>0.05003838561087959</v>
      </c>
    </row>
    <row r="182">
      <c r="A182" s="36" t="n">
        <v>44361</v>
      </c>
      <c r="B182" t="n">
        <v>0.05403701165181629</v>
      </c>
    </row>
    <row r="183">
      <c r="A183" s="36" t="n">
        <v>44362</v>
      </c>
      <c r="B183" t="n">
        <v>0.04302829257594032</v>
      </c>
    </row>
    <row r="184">
      <c r="A184" s="36" t="n">
        <v>44363</v>
      </c>
      <c r="B184" t="n">
        <v>0.04012528442580254</v>
      </c>
    </row>
    <row r="185">
      <c r="A185" s="36" t="n">
        <v>44364</v>
      </c>
      <c r="B185" t="n">
        <v>0.03782279730248367</v>
      </c>
    </row>
    <row r="186">
      <c r="A186" s="36" t="n">
        <v>44365</v>
      </c>
      <c r="B186" t="n">
        <v>0.03992296937964313</v>
      </c>
    </row>
    <row r="187">
      <c r="A187" s="36" t="n">
        <v>44369</v>
      </c>
      <c r="B187" t="n">
        <v>0.03551654195104564</v>
      </c>
    </row>
    <row r="188">
      <c r="A188" s="36" t="n">
        <v>44370</v>
      </c>
      <c r="B188" t="n">
        <v>0.03051337572634583</v>
      </c>
    </row>
    <row r="189">
      <c r="A189" s="36" t="n">
        <v>44371</v>
      </c>
      <c r="B189" t="n">
        <v>0.02541044264766351</v>
      </c>
    </row>
    <row r="190">
      <c r="A190" s="36" t="n">
        <v>44372</v>
      </c>
      <c r="B190" t="n">
        <v>0.02550978457490538</v>
      </c>
    </row>
    <row r="191">
      <c r="A191" s="36" t="n">
        <v>44375</v>
      </c>
      <c r="B191" t="n">
        <v>0.03260982761928249</v>
      </c>
    </row>
    <row r="192">
      <c r="A192" s="36" t="n">
        <v>44376</v>
      </c>
      <c r="B192" t="n">
        <v>0.02780761852562347</v>
      </c>
    </row>
    <row r="193">
      <c r="A193" s="36" t="n">
        <v>44377</v>
      </c>
      <c r="B193" t="n">
        <v>0.03190786769340381</v>
      </c>
    </row>
    <row r="194">
      <c r="A194" s="36" t="n">
        <v>44378</v>
      </c>
      <c r="B194" t="n">
        <v>0.03750822097994083</v>
      </c>
    </row>
    <row r="195">
      <c r="A195" s="36" t="n">
        <v>44379</v>
      </c>
      <c r="B195" t="n">
        <v>0.03200613816348347</v>
      </c>
    </row>
    <row r="196">
      <c r="A196" s="36" t="n">
        <v>44382</v>
      </c>
      <c r="B196" t="n">
        <v>0.03150345243314334</v>
      </c>
    </row>
    <row r="197">
      <c r="A197" s="36" t="n">
        <v>44383</v>
      </c>
      <c r="B197" t="n">
        <v>0.03500287694879034</v>
      </c>
    </row>
    <row r="198">
      <c r="A198" s="36" t="n">
        <v>44384</v>
      </c>
      <c r="B198" t="n">
        <v>0.03300180831826399</v>
      </c>
    </row>
    <row r="199">
      <c r="A199" s="36" t="n">
        <v>44385</v>
      </c>
      <c r="B199" t="n">
        <v>0.03500095893038169</v>
      </c>
    </row>
    <row r="200">
      <c r="A200" s="36" t="n">
        <v>44389</v>
      </c>
      <c r="B200" t="n">
        <v>0.03349724680163274</v>
      </c>
    </row>
    <row r="201">
      <c r="A201" s="36" t="n">
        <v>44390</v>
      </c>
      <c r="B201" t="n">
        <v>0.0325964277887355</v>
      </c>
    </row>
    <row r="202">
      <c r="A202" s="36" t="n">
        <v>44391</v>
      </c>
      <c r="B202" t="n">
        <v>0.0309957540063005</v>
      </c>
    </row>
    <row r="203">
      <c r="A203" s="36" t="n">
        <v>44392</v>
      </c>
      <c r="B203" t="n">
        <v>0.03129485564016876</v>
      </c>
    </row>
    <row r="204">
      <c r="A204" s="36" t="n">
        <v>44393</v>
      </c>
      <c r="B204" t="n">
        <v>0.03309365327197528</v>
      </c>
    </row>
    <row r="205">
      <c r="A205" s="36" t="inlineStr">
        <is>
          <t>Total general</t>
        </is>
      </c>
      <c r="B205" t="n">
        <v>5.257670846129167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B225"/>
  <sheetViews>
    <sheetView topLeftCell="G6" workbookViewId="0">
      <selection activeCell="A21" sqref="A2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29-35</t>
        </is>
      </c>
    </row>
    <row r="2">
      <c r="A2" s="36" t="n">
        <v>44088</v>
      </c>
      <c r="B2" t="n">
        <v>0.07640894689607591</v>
      </c>
    </row>
    <row r="3">
      <c r="A3" s="36" t="n">
        <v>44089</v>
      </c>
      <c r="B3" t="n">
        <v>0.07226313258968697</v>
      </c>
    </row>
    <row r="4">
      <c r="A4" s="36" t="n">
        <v>44090</v>
      </c>
      <c r="B4" t="n">
        <v>0.07306875260238488</v>
      </c>
    </row>
    <row r="5">
      <c r="A5" s="36" t="n">
        <v>44091</v>
      </c>
      <c r="B5" t="n">
        <v>0.07113040110451108</v>
      </c>
    </row>
    <row r="6">
      <c r="A6" s="36" t="n">
        <v>44092</v>
      </c>
      <c r="B6" t="n">
        <v>0.07100684575989158</v>
      </c>
    </row>
    <row r="7">
      <c r="A7" s="36" t="n">
        <v>44095</v>
      </c>
      <c r="B7" t="n">
        <v>0.07500796244215102</v>
      </c>
    </row>
    <row r="8">
      <c r="A8" s="36" t="n">
        <v>44096</v>
      </c>
      <c r="B8" t="n">
        <v>0.08334136622674904</v>
      </c>
    </row>
    <row r="9">
      <c r="A9" s="36" t="n">
        <v>44097</v>
      </c>
      <c r="B9" t="n">
        <v>0.08190515026251094</v>
      </c>
    </row>
    <row r="10">
      <c r="A10" s="36" t="n">
        <v>44098</v>
      </c>
      <c r="B10" t="n">
        <v>0.06006965217070148</v>
      </c>
    </row>
    <row r="11">
      <c r="A11" s="36" t="n">
        <v>44099</v>
      </c>
      <c r="B11" t="n">
        <v>0.05267222842948338</v>
      </c>
    </row>
    <row r="12">
      <c r="A12" s="36" t="n">
        <v>44102</v>
      </c>
      <c r="B12" t="n">
        <v>0.05613083140332181</v>
      </c>
    </row>
    <row r="13">
      <c r="A13" s="36" t="n">
        <v>44103</v>
      </c>
      <c r="B13" t="n">
        <v>0.06420736739630645</v>
      </c>
    </row>
    <row r="14">
      <c r="A14" s="36" t="n">
        <v>44104</v>
      </c>
      <c r="B14" t="n">
        <v>0.05437691554281365</v>
      </c>
    </row>
    <row r="15">
      <c r="A15" s="36" t="n">
        <v>44105</v>
      </c>
      <c r="B15" t="n">
        <v>0.05769523263827414</v>
      </c>
    </row>
    <row r="16">
      <c r="A16" s="36" t="n">
        <v>44106</v>
      </c>
      <c r="B16" t="n">
        <v>0.05712911872938836</v>
      </c>
    </row>
    <row r="17">
      <c r="A17" s="36" t="n">
        <v>44109</v>
      </c>
      <c r="B17" t="n">
        <v>0.06199594266921837</v>
      </c>
    </row>
    <row r="18">
      <c r="A18" s="36" t="n">
        <v>44110</v>
      </c>
      <c r="B18" t="n">
        <v>0.0564734623962419</v>
      </c>
    </row>
    <row r="19">
      <c r="A19" s="36" t="n">
        <v>44111</v>
      </c>
      <c r="B19" t="n">
        <v>0.05647154130250553</v>
      </c>
    </row>
    <row r="20">
      <c r="A20" s="36" t="n">
        <v>44112</v>
      </c>
      <c r="B20" t="n">
        <v>0.05745326844415538</v>
      </c>
    </row>
    <row r="21">
      <c r="A21" s="36" t="n">
        <v>44113</v>
      </c>
      <c r="B21" t="n">
        <v>0.05936427019360146</v>
      </c>
    </row>
    <row r="22">
      <c r="A22" s="36" t="n">
        <v>44117</v>
      </c>
      <c r="B22" t="n">
        <v>0.06050840545240033</v>
      </c>
    </row>
    <row r="23">
      <c r="A23" s="36" t="n">
        <v>44118</v>
      </c>
      <c r="B23" t="n">
        <v>0.05815938766479389</v>
      </c>
    </row>
    <row r="24">
      <c r="A24" s="36" t="n">
        <v>44119</v>
      </c>
      <c r="B24" t="n">
        <v>0.06853583062349811</v>
      </c>
    </row>
    <row r="25">
      <c r="A25" s="36" t="n">
        <v>44120</v>
      </c>
      <c r="B25" t="n">
        <v>0.06920866776784812</v>
      </c>
    </row>
    <row r="26">
      <c r="A26" s="36" t="n">
        <v>44123</v>
      </c>
      <c r="B26" t="n">
        <v>0.07843376985627609</v>
      </c>
    </row>
    <row r="27">
      <c r="A27" s="36" t="n">
        <v>44124</v>
      </c>
      <c r="B27" t="n">
        <v>0.0592912384719263</v>
      </c>
    </row>
    <row r="28">
      <c r="A28" s="36" t="n">
        <v>44125</v>
      </c>
      <c r="B28" t="n">
        <v>0.06945721081580719</v>
      </c>
    </row>
    <row r="29">
      <c r="A29" s="36" t="n">
        <v>44126</v>
      </c>
      <c r="B29" t="n">
        <v>0.07370849785204431</v>
      </c>
    </row>
    <row r="30">
      <c r="A30" s="36" t="n">
        <v>44127</v>
      </c>
      <c r="B30" t="n">
        <v>0.08490549060363839</v>
      </c>
    </row>
    <row r="31">
      <c r="A31" s="36" t="n">
        <v>44130</v>
      </c>
      <c r="B31" t="n">
        <v>0.06616475063769278</v>
      </c>
    </row>
    <row r="32">
      <c r="A32" s="36" t="n">
        <v>44131</v>
      </c>
      <c r="B32" t="n">
        <v>0.08071757892021292</v>
      </c>
    </row>
    <row r="33">
      <c r="A33" s="36" t="n">
        <v>44132</v>
      </c>
      <c r="B33" t="n">
        <v>0.09479267293988974</v>
      </c>
    </row>
    <row r="34">
      <c r="A34" s="36" t="n">
        <v>44133</v>
      </c>
      <c r="B34" t="n">
        <v>0.107268755969904</v>
      </c>
    </row>
    <row r="35">
      <c r="A35" s="36" t="n">
        <v>44134</v>
      </c>
      <c r="B35" t="n">
        <v>0.1008183169021767</v>
      </c>
    </row>
    <row r="36">
      <c r="A36" s="36" t="n">
        <v>44137</v>
      </c>
      <c r="B36" t="n">
        <v>0.08920311629476363</v>
      </c>
    </row>
    <row r="37">
      <c r="A37" s="36" t="n">
        <v>44138</v>
      </c>
      <c r="B37" t="n">
        <v>0.09576300569904173</v>
      </c>
    </row>
    <row r="38">
      <c r="A38" s="36" t="n">
        <v>44139</v>
      </c>
      <c r="B38" t="n">
        <v>0.09575774800240122</v>
      </c>
    </row>
    <row r="39">
      <c r="A39" s="36" t="n">
        <v>44140</v>
      </c>
      <c r="B39" t="n">
        <v>0.09528173212473545</v>
      </c>
    </row>
    <row r="40">
      <c r="A40" s="36" t="n">
        <v>44141</v>
      </c>
      <c r="B40" t="n">
        <v>0.09886803743846817</v>
      </c>
    </row>
    <row r="41">
      <c r="A41" s="36" t="n">
        <v>44144</v>
      </c>
      <c r="B41" t="n">
        <v>0.08724122399974343</v>
      </c>
    </row>
    <row r="42">
      <c r="A42" s="36" t="n">
        <v>44145</v>
      </c>
      <c r="B42" t="n">
        <v>0.08319449650279886</v>
      </c>
    </row>
    <row r="43">
      <c r="A43" s="36" t="n">
        <v>44146</v>
      </c>
      <c r="B43" t="n">
        <v>0.07765842343577467</v>
      </c>
    </row>
    <row r="44">
      <c r="A44" s="36" t="n">
        <v>44147</v>
      </c>
      <c r="B44" t="n">
        <v>0.07660027160253402</v>
      </c>
    </row>
    <row r="45">
      <c r="A45" s="36" t="n">
        <v>44148</v>
      </c>
      <c r="B45" t="n">
        <v>0.08435307044580048</v>
      </c>
    </row>
    <row r="46">
      <c r="A46" s="36" t="n">
        <v>44151</v>
      </c>
      <c r="B46" t="n">
        <v>0.08011600732491653</v>
      </c>
    </row>
    <row r="47">
      <c r="A47" s="36" t="n">
        <v>44152</v>
      </c>
      <c r="B47" t="n">
        <v>0.07104390026172031</v>
      </c>
    </row>
    <row r="48">
      <c r="A48" s="36" t="n">
        <v>44153</v>
      </c>
      <c r="B48" t="n">
        <v>0.06249522097560817</v>
      </c>
    </row>
    <row r="49">
      <c r="A49" s="36" t="n">
        <v>44154</v>
      </c>
      <c r="B49" t="n">
        <v>0.05651252471414747</v>
      </c>
    </row>
    <row r="50">
      <c r="A50" s="36" t="n">
        <v>44155</v>
      </c>
      <c r="B50" t="n">
        <v>0.05689679195369707</v>
      </c>
    </row>
    <row r="51">
      <c r="A51" s="36" t="n">
        <v>44159</v>
      </c>
      <c r="B51" t="n">
        <v>0.06708759777778805</v>
      </c>
    </row>
    <row r="52">
      <c r="A52" s="36" t="n">
        <v>44160</v>
      </c>
      <c r="B52" t="n">
        <v>0.07232140801881115</v>
      </c>
    </row>
    <row r="53">
      <c r="A53" s="36" t="n">
        <v>44161</v>
      </c>
      <c r="B53" t="n">
        <v>0.07730415649691835</v>
      </c>
    </row>
    <row r="54">
      <c r="A54" s="36" t="n">
        <v>44162</v>
      </c>
      <c r="B54" t="n">
        <v>0.06977520442878876</v>
      </c>
    </row>
    <row r="55">
      <c r="A55" s="36" t="n">
        <v>44165</v>
      </c>
      <c r="B55" t="n">
        <v>0.0643980918940858</v>
      </c>
    </row>
    <row r="56">
      <c r="A56" s="36" t="n">
        <v>44166</v>
      </c>
      <c r="B56" t="n">
        <v>0.06727175641613659</v>
      </c>
    </row>
    <row r="57">
      <c r="A57" s="36" t="n">
        <v>44167</v>
      </c>
      <c r="B57" t="n">
        <v>0.0638535239457762</v>
      </c>
    </row>
    <row r="58">
      <c r="A58" s="36" t="n">
        <v>44168</v>
      </c>
      <c r="B58" t="n">
        <v>0.06344497132413379</v>
      </c>
    </row>
    <row r="59">
      <c r="A59" s="36" t="n">
        <v>44169</v>
      </c>
      <c r="B59" t="n">
        <v>0.06683503906427313</v>
      </c>
    </row>
    <row r="60">
      <c r="A60" s="36" t="n">
        <v>44174</v>
      </c>
      <c r="B60" t="n">
        <v>0.07018260958996614</v>
      </c>
    </row>
    <row r="61">
      <c r="A61" s="36" t="n">
        <v>44175</v>
      </c>
      <c r="B61" t="n">
        <v>0.06829225786979215</v>
      </c>
    </row>
    <row r="62">
      <c r="A62" s="36" t="n">
        <v>44176</v>
      </c>
      <c r="B62" t="n">
        <v>0.06536958057019437</v>
      </c>
    </row>
    <row r="63">
      <c r="A63" s="36" t="n">
        <v>44179</v>
      </c>
      <c r="B63" t="n">
        <v>0.06714865794833114</v>
      </c>
    </row>
    <row r="64">
      <c r="A64" s="36" t="n">
        <v>44180</v>
      </c>
      <c r="B64" t="n">
        <v>0.06862187732430353</v>
      </c>
    </row>
    <row r="65">
      <c r="A65" s="36" t="n">
        <v>44181</v>
      </c>
      <c r="B65" t="n">
        <v>0.06660021649986331</v>
      </c>
    </row>
    <row r="66">
      <c r="A66" s="36" t="n">
        <v>44182</v>
      </c>
      <c r="B66" t="n">
        <v>0.05928578874172957</v>
      </c>
    </row>
    <row r="67">
      <c r="A67" s="36" t="n">
        <v>44183</v>
      </c>
      <c r="B67" t="n">
        <v>0.05778327226135466</v>
      </c>
    </row>
    <row r="68">
      <c r="A68" s="36" t="n">
        <v>44186</v>
      </c>
      <c r="B68" t="n">
        <v>0.05417202147967309</v>
      </c>
    </row>
    <row r="69">
      <c r="A69" s="36" t="n">
        <v>44187</v>
      </c>
      <c r="B69" t="n">
        <v>0.06006994209890615</v>
      </c>
    </row>
    <row r="70">
      <c r="A70" s="36" t="n">
        <v>44188</v>
      </c>
      <c r="B70" t="n">
        <v>0.06175919848370792</v>
      </c>
    </row>
    <row r="71">
      <c r="A71" s="36" t="n">
        <v>44193</v>
      </c>
      <c r="B71" t="n">
        <v>0.05690232213548074</v>
      </c>
    </row>
    <row r="72">
      <c r="A72" s="36" t="n">
        <v>44194</v>
      </c>
      <c r="B72" t="n">
        <v>0.05949869056592655</v>
      </c>
    </row>
    <row r="73">
      <c r="A73" s="36" t="n">
        <v>44195</v>
      </c>
      <c r="B73" t="n">
        <v>0.06048887472005621</v>
      </c>
    </row>
    <row r="74">
      <c r="A74" s="36" t="n">
        <v>44200</v>
      </c>
      <c r="B74" t="n">
        <v>0.05448835706755328</v>
      </c>
    </row>
    <row r="75">
      <c r="A75" s="36" t="n">
        <v>44201</v>
      </c>
      <c r="B75" t="n">
        <v>0.05797545985871178</v>
      </c>
    </row>
    <row r="76">
      <c r="A76" s="36" t="n">
        <v>44202</v>
      </c>
      <c r="B76" t="n">
        <v>0.05937723846179388</v>
      </c>
    </row>
    <row r="77">
      <c r="A77" s="36" t="n">
        <v>44203</v>
      </c>
      <c r="B77" t="n">
        <v>0.06305738754004619</v>
      </c>
    </row>
    <row r="78">
      <c r="A78" s="36" t="n">
        <v>44204</v>
      </c>
      <c r="B78" t="n">
        <v>0.06032882488472391</v>
      </c>
    </row>
    <row r="79">
      <c r="A79" s="36" t="n">
        <v>44207</v>
      </c>
      <c r="B79" t="n">
        <v>0.05949457270607739</v>
      </c>
    </row>
    <row r="80">
      <c r="A80" s="36" t="n">
        <v>44208</v>
      </c>
      <c r="B80" t="n">
        <v>0.06329453390476653</v>
      </c>
    </row>
    <row r="81">
      <c r="A81" s="36" t="n">
        <v>44209</v>
      </c>
      <c r="B81" t="n">
        <v>0.06316684509009673</v>
      </c>
    </row>
    <row r="82">
      <c r="A82" s="36" t="n">
        <v>44210</v>
      </c>
      <c r="B82" t="n">
        <v>0.06014184948544948</v>
      </c>
    </row>
    <row r="83">
      <c r="A83" s="36" t="n">
        <v>44211</v>
      </c>
      <c r="B83" t="n">
        <v>0.06002551307954795</v>
      </c>
    </row>
    <row r="84">
      <c r="A84" s="36" t="n">
        <v>44214</v>
      </c>
      <c r="B84" t="n">
        <v>0.06019672513639901</v>
      </c>
    </row>
    <row r="85">
      <c r="A85" s="36" t="n">
        <v>44215</v>
      </c>
      <c r="B85" t="n">
        <v>0.05969063722992229</v>
      </c>
    </row>
    <row r="86">
      <c r="A86" s="36" t="n">
        <v>44216</v>
      </c>
      <c r="B86" t="n">
        <v>0.06037168450737773</v>
      </c>
    </row>
    <row r="87">
      <c r="A87" s="36" t="n">
        <v>44217</v>
      </c>
      <c r="B87" t="n">
        <v>0.06366086080512684</v>
      </c>
    </row>
    <row r="88">
      <c r="A88" s="36" t="n">
        <v>44218</v>
      </c>
      <c r="B88" t="n">
        <v>0.06125364984090886</v>
      </c>
    </row>
    <row r="89">
      <c r="A89" s="36" t="n">
        <v>44221</v>
      </c>
      <c r="B89" t="n">
        <v>0.05851807256744335</v>
      </c>
    </row>
    <row r="90">
      <c r="A90" s="36" t="n">
        <v>44222</v>
      </c>
      <c r="B90" t="n">
        <v>0.05960725474247264</v>
      </c>
    </row>
    <row r="91">
      <c r="A91" s="36" t="n">
        <v>44223</v>
      </c>
      <c r="B91" t="n">
        <v>0.05999723655124573</v>
      </c>
    </row>
    <row r="92">
      <c r="A92" s="36" t="n">
        <v>44224</v>
      </c>
      <c r="B92" t="n">
        <v>0.05707055766631763</v>
      </c>
    </row>
    <row r="93">
      <c r="A93" s="36" t="n">
        <v>44225</v>
      </c>
      <c r="B93" t="n">
        <v>0.06076673542899103</v>
      </c>
    </row>
    <row r="94">
      <c r="A94" s="36" t="n">
        <v>44228</v>
      </c>
      <c r="B94" t="n">
        <v>0.06134648060888548</v>
      </c>
    </row>
    <row r="95">
      <c r="A95" s="36" t="n">
        <v>44229</v>
      </c>
      <c r="B95" t="n">
        <v>0.06203967005983052</v>
      </c>
    </row>
    <row r="96">
      <c r="A96" s="36" t="n">
        <v>44230</v>
      </c>
      <c r="B96" t="n">
        <v>0.0585185514713108</v>
      </c>
    </row>
    <row r="97">
      <c r="A97" s="36" t="n">
        <v>44231</v>
      </c>
      <c r="B97" t="n">
        <v>0.05530259148594713</v>
      </c>
    </row>
    <row r="98">
      <c r="A98" s="36" t="n">
        <v>44232</v>
      </c>
      <c r="B98" t="n">
        <v>0.05519279917102998</v>
      </c>
    </row>
    <row r="99">
      <c r="A99" s="36" t="n">
        <v>44235</v>
      </c>
      <c r="B99" t="n">
        <v>0.05586649303107138</v>
      </c>
    </row>
    <row r="100">
      <c r="A100" s="36" t="n">
        <v>44236</v>
      </c>
      <c r="B100" t="n">
        <v>0.05805497750794802</v>
      </c>
    </row>
    <row r="101">
      <c r="A101" s="36" t="n">
        <v>44237</v>
      </c>
      <c r="B101" t="n">
        <v>0.05664236595968086</v>
      </c>
    </row>
    <row r="102">
      <c r="A102" s="36" t="n">
        <v>44238</v>
      </c>
      <c r="B102" t="n">
        <v>0.05442047745795769</v>
      </c>
    </row>
    <row r="103">
      <c r="A103" s="36" t="n">
        <v>44239</v>
      </c>
      <c r="B103" t="n">
        <v>0.05590805223977596</v>
      </c>
    </row>
    <row r="104">
      <c r="A104" s="36" t="n">
        <v>44244</v>
      </c>
      <c r="B104" t="n">
        <v>0.05925100772377284</v>
      </c>
    </row>
    <row r="105">
      <c r="A105" s="36" t="n">
        <v>44245</v>
      </c>
      <c r="B105" t="n">
        <v>0.06075100422673685</v>
      </c>
    </row>
    <row r="106">
      <c r="A106" s="36" t="n">
        <v>44246</v>
      </c>
      <c r="B106" t="n">
        <v>0.06182842676955963</v>
      </c>
    </row>
    <row r="107">
      <c r="A107" s="36" t="n">
        <v>44249</v>
      </c>
      <c r="B107" t="n">
        <v>0.06128971301301089</v>
      </c>
    </row>
    <row r="108">
      <c r="A108" s="36" t="n">
        <v>44250</v>
      </c>
      <c r="B108" t="n">
        <v>0.05705996879194652</v>
      </c>
    </row>
    <row r="109">
      <c r="A109" s="36" t="n">
        <v>44251</v>
      </c>
      <c r="B109" t="n">
        <v>0.05525665838856142</v>
      </c>
    </row>
    <row r="110">
      <c r="A110" s="36" t="n">
        <v>44252</v>
      </c>
      <c r="B110" t="n">
        <v>0.05144621240906783</v>
      </c>
    </row>
    <row r="111">
      <c r="A111" s="36" t="n">
        <v>44253</v>
      </c>
      <c r="B111" t="n">
        <v>0.05174117331894129</v>
      </c>
    </row>
    <row r="112">
      <c r="A112" s="36" t="n">
        <v>44256</v>
      </c>
      <c r="B112" t="n">
        <v>0.05301802582927401</v>
      </c>
    </row>
    <row r="113">
      <c r="A113" s="36" t="n">
        <v>44257</v>
      </c>
      <c r="B113" t="n">
        <v>0.05599442155675838</v>
      </c>
    </row>
    <row r="114">
      <c r="A114" s="36" t="n">
        <v>44258</v>
      </c>
      <c r="B114" t="n">
        <v>0.05768001880288942</v>
      </c>
    </row>
    <row r="115">
      <c r="A115" s="36" t="n">
        <v>44259</v>
      </c>
      <c r="B115" t="n">
        <v>0.05357814982733555</v>
      </c>
    </row>
    <row r="116">
      <c r="A116" s="36" t="n">
        <v>44260</v>
      </c>
      <c r="B116" t="n">
        <v>0.05976272030994573</v>
      </c>
    </row>
    <row r="117">
      <c r="A117" s="36" t="n">
        <v>44263</v>
      </c>
      <c r="B117" t="n">
        <v>0.05351396946240095</v>
      </c>
    </row>
    <row r="118">
      <c r="A118" s="36" t="n">
        <v>44264</v>
      </c>
      <c r="B118" t="n">
        <v>0.05838813892801259</v>
      </c>
    </row>
    <row r="119">
      <c r="A119" s="36" t="n">
        <v>44265</v>
      </c>
      <c r="B119" t="n">
        <v>0.05304059566046621</v>
      </c>
    </row>
    <row r="120">
      <c r="A120" s="36" t="n">
        <v>44266</v>
      </c>
      <c r="B120" t="n">
        <v>0.04792842393528096</v>
      </c>
    </row>
    <row r="121">
      <c r="A121" s="36" t="n">
        <v>44267</v>
      </c>
      <c r="B121" t="n">
        <v>0.05113716150738618</v>
      </c>
    </row>
    <row r="122">
      <c r="A122" s="36" t="n">
        <v>44270</v>
      </c>
      <c r="B122" t="n">
        <v>0.05634005976784284</v>
      </c>
    </row>
    <row r="123">
      <c r="A123" s="36" t="n">
        <v>44271</v>
      </c>
      <c r="B123" t="n">
        <v>0.05463509598794708</v>
      </c>
    </row>
    <row r="124">
      <c r="A124" s="36" t="n">
        <v>44272</v>
      </c>
      <c r="B124" t="n">
        <v>0.05283057176731126</v>
      </c>
    </row>
    <row r="125">
      <c r="A125" s="36" t="n">
        <v>44273</v>
      </c>
      <c r="B125" t="n">
        <v>0.05221800631748785</v>
      </c>
    </row>
    <row r="126">
      <c r="A126" s="36" t="n">
        <v>44274</v>
      </c>
      <c r="B126" t="n">
        <v>0.04941543622276939</v>
      </c>
    </row>
    <row r="127">
      <c r="A127" s="36" t="n">
        <v>44277</v>
      </c>
      <c r="B127" t="n">
        <v>0.04900241753760909</v>
      </c>
    </row>
    <row r="128">
      <c r="A128" s="36" t="n">
        <v>44278</v>
      </c>
      <c r="B128" t="n">
        <v>0.04608432478392943</v>
      </c>
    </row>
    <row r="129">
      <c r="A129" s="36" t="n">
        <v>44280</v>
      </c>
      <c r="B129" t="n">
        <v>0.04984574759901717</v>
      </c>
    </row>
    <row r="130">
      <c r="A130" s="36" t="n">
        <v>44281</v>
      </c>
      <c r="B130" t="n">
        <v>0.05394079712399241</v>
      </c>
    </row>
    <row r="131">
      <c r="A131" s="36" t="n">
        <v>44284</v>
      </c>
      <c r="B131" t="n">
        <v>0.05460622929270981</v>
      </c>
    </row>
    <row r="132">
      <c r="A132" s="36" t="n">
        <v>44285</v>
      </c>
      <c r="B132" t="n">
        <v>0.05198718844158373</v>
      </c>
    </row>
    <row r="133">
      <c r="A133" s="36" t="n">
        <v>44286</v>
      </c>
      <c r="B133" t="n">
        <v>0.05598455740901787</v>
      </c>
    </row>
    <row r="134">
      <c r="A134" s="36" t="n">
        <v>44291</v>
      </c>
      <c r="B134" t="n">
        <v>0.05644401945297456</v>
      </c>
    </row>
    <row r="135">
      <c r="A135" s="36" t="n">
        <v>44292</v>
      </c>
      <c r="B135" t="n">
        <v>0.05482871857142141</v>
      </c>
    </row>
    <row r="136">
      <c r="A136" s="36" t="n">
        <v>44293</v>
      </c>
      <c r="B136" t="n">
        <v>0.05511751369306661</v>
      </c>
    </row>
    <row r="137">
      <c r="A137" s="36" t="n">
        <v>44294</v>
      </c>
      <c r="B137" t="n">
        <v>0.05561084686844159</v>
      </c>
    </row>
    <row r="138">
      <c r="A138" s="36" t="n">
        <v>44295</v>
      </c>
      <c r="B138" t="n">
        <v>0.05509616527164596</v>
      </c>
    </row>
    <row r="139">
      <c r="A139" s="36" t="n">
        <v>44298</v>
      </c>
      <c r="B139" t="n">
        <v>0.05728383782866492</v>
      </c>
    </row>
    <row r="140">
      <c r="A140" s="36" t="n">
        <v>44299</v>
      </c>
      <c r="B140" t="n">
        <v>0.05627774590663159</v>
      </c>
    </row>
    <row r="141">
      <c r="A141" s="36" t="n">
        <v>44300</v>
      </c>
      <c r="B141" t="n">
        <v>0.05726845747180748</v>
      </c>
    </row>
    <row r="142">
      <c r="A142" s="36" t="n">
        <v>44301</v>
      </c>
      <c r="B142" t="n">
        <v>0.05395302185608875</v>
      </c>
    </row>
    <row r="143">
      <c r="A143" s="36" t="n">
        <v>44302</v>
      </c>
      <c r="B143" t="n">
        <v>0.05274581383114985</v>
      </c>
    </row>
    <row r="144">
      <c r="A144" s="36" t="n">
        <v>44305</v>
      </c>
      <c r="B144" t="n">
        <v>0.05471966712770049</v>
      </c>
    </row>
    <row r="145">
      <c r="A145" s="36" t="n">
        <v>44306</v>
      </c>
      <c r="B145" t="n">
        <v>0.05360949807737714</v>
      </c>
    </row>
    <row r="146">
      <c r="A146" s="36" t="n">
        <v>44307</v>
      </c>
      <c r="B146" t="n">
        <v>0.05520578724416858</v>
      </c>
    </row>
    <row r="147">
      <c r="A147" s="36" t="n">
        <v>44308</v>
      </c>
      <c r="B147" t="n">
        <v>0.05510055412521858</v>
      </c>
    </row>
    <row r="148">
      <c r="A148" s="36" t="n">
        <v>44309</v>
      </c>
      <c r="B148" t="n">
        <v>0.05118959786357991</v>
      </c>
    </row>
    <row r="149">
      <c r="A149" s="36" t="n">
        <v>44312</v>
      </c>
      <c r="B149" t="n">
        <v>0.05406856147320416</v>
      </c>
    </row>
    <row r="150">
      <c r="A150" s="36" t="n">
        <v>44313</v>
      </c>
      <c r="B150" t="n">
        <v>0.04996093712806959</v>
      </c>
    </row>
    <row r="151">
      <c r="A151" s="36" t="n">
        <v>44314</v>
      </c>
      <c r="B151" t="n">
        <v>0.05115683000057863</v>
      </c>
    </row>
    <row r="152">
      <c r="A152" s="36" t="n">
        <v>44315</v>
      </c>
      <c r="B152" t="n">
        <v>0.05114001165932985</v>
      </c>
    </row>
    <row r="153">
      <c r="A153" s="36" t="n">
        <v>44316</v>
      </c>
      <c r="B153" t="n">
        <v>0.04913133954863552</v>
      </c>
    </row>
    <row r="154">
      <c r="A154" s="36" t="n">
        <v>44319</v>
      </c>
      <c r="B154" t="n">
        <v>0.04830275589461358</v>
      </c>
    </row>
    <row r="155">
      <c r="A155" s="36" t="n">
        <v>44320</v>
      </c>
      <c r="B155" t="n">
        <v>0.04799335659648218</v>
      </c>
    </row>
    <row r="156">
      <c r="A156" s="36" t="n">
        <v>44321</v>
      </c>
      <c r="B156" t="n">
        <v>0.04858214016591766</v>
      </c>
    </row>
    <row r="157">
      <c r="A157" s="36" t="n">
        <v>44322</v>
      </c>
      <c r="B157" t="n">
        <v>0.05037263899755634</v>
      </c>
    </row>
    <row r="158">
      <c r="A158" s="36" t="n">
        <v>44323</v>
      </c>
      <c r="B158" t="n">
        <v>0.05005997795888489</v>
      </c>
    </row>
    <row r="159">
      <c r="A159" s="36" t="n">
        <v>44326</v>
      </c>
      <c r="B159" t="n">
        <v>0.05053480757477868</v>
      </c>
    </row>
    <row r="160">
      <c r="A160" s="36" t="n">
        <v>44327</v>
      </c>
      <c r="B160" t="n">
        <v>0.05032002820535225</v>
      </c>
    </row>
    <row r="161">
      <c r="A161" s="36" t="n">
        <v>44328</v>
      </c>
      <c r="B161" t="n">
        <v>0.05041567580905015</v>
      </c>
    </row>
    <row r="162">
      <c r="A162" s="36" t="n">
        <v>44329</v>
      </c>
      <c r="B162" t="n">
        <v>0.05300919348532057</v>
      </c>
    </row>
    <row r="163">
      <c r="A163" s="36" t="n">
        <v>44330</v>
      </c>
      <c r="B163" t="n">
        <v>0.05021275244199014</v>
      </c>
    </row>
    <row r="164">
      <c r="A164" s="36" t="n">
        <v>44333</v>
      </c>
      <c r="B164" t="n">
        <v>0.05199358369195839</v>
      </c>
    </row>
    <row r="165">
      <c r="A165" s="36" t="n">
        <v>44334</v>
      </c>
      <c r="B165" t="n">
        <v>0.05148354275340727</v>
      </c>
    </row>
    <row r="166">
      <c r="A166" s="36" t="n">
        <v>44335</v>
      </c>
      <c r="B166" t="n">
        <v>0.04596653377882431</v>
      </c>
    </row>
    <row r="167">
      <c r="A167" s="36" t="n">
        <v>44336</v>
      </c>
      <c r="B167" t="n">
        <v>0.04535534863134721</v>
      </c>
    </row>
    <row r="168">
      <c r="A168" s="36" t="n">
        <v>44337</v>
      </c>
      <c r="B168" t="n">
        <v>0.04724231182149036</v>
      </c>
    </row>
    <row r="169">
      <c r="A169" s="36" t="n">
        <v>44342</v>
      </c>
      <c r="B169" t="n">
        <v>0.0436054474119672</v>
      </c>
    </row>
    <row r="170">
      <c r="A170" s="36" t="n">
        <v>44343</v>
      </c>
      <c r="B170" t="n">
        <v>0.043399597416725</v>
      </c>
    </row>
    <row r="171">
      <c r="A171" s="36" t="n">
        <v>44344</v>
      </c>
      <c r="B171" t="n">
        <v>0.0417854249012829</v>
      </c>
    </row>
    <row r="172">
      <c r="A172" s="36" t="n">
        <v>44347</v>
      </c>
      <c r="B172" t="n">
        <v>0.04235756760663656</v>
      </c>
    </row>
    <row r="173">
      <c r="A173" s="36" t="n">
        <v>44348</v>
      </c>
      <c r="B173" t="n">
        <v>0.04175059058307334</v>
      </c>
    </row>
    <row r="174">
      <c r="A174" s="36" t="n">
        <v>44349</v>
      </c>
      <c r="B174" t="n">
        <v>0.04184580679506295</v>
      </c>
    </row>
    <row r="175">
      <c r="A175" s="36" t="n">
        <v>44350</v>
      </c>
      <c r="B175" t="n">
        <v>0.04963611623026204</v>
      </c>
    </row>
    <row r="176">
      <c r="A176" s="36" t="n">
        <v>44351</v>
      </c>
      <c r="B176" t="n">
        <v>0.04542500634404273</v>
      </c>
    </row>
    <row r="177">
      <c r="A177" s="36" t="n">
        <v>44354</v>
      </c>
      <c r="B177" t="n">
        <v>0.04399788958167045</v>
      </c>
    </row>
    <row r="178">
      <c r="A178" s="36" t="n">
        <v>44355</v>
      </c>
      <c r="B178" t="n">
        <v>0.04689319406336878</v>
      </c>
    </row>
    <row r="179">
      <c r="A179" s="36" t="n">
        <v>44356</v>
      </c>
      <c r="B179" t="n">
        <v>0.04588758395956988</v>
      </c>
    </row>
    <row r="180">
      <c r="A180" s="36" t="n">
        <v>44357</v>
      </c>
      <c r="B180" t="n">
        <v>0.04477927177455365</v>
      </c>
    </row>
    <row r="181">
      <c r="A181" s="36" t="n">
        <v>44358</v>
      </c>
      <c r="B181" t="n">
        <v>0.04777260846302472</v>
      </c>
    </row>
    <row r="182">
      <c r="A182" s="36" t="n">
        <v>44361</v>
      </c>
      <c r="B182" t="n">
        <v>0.04784308690178751</v>
      </c>
    </row>
    <row r="183">
      <c r="A183" s="36" t="n">
        <v>44362</v>
      </c>
      <c r="B183" t="n">
        <v>0.04993266530043289</v>
      </c>
    </row>
    <row r="184">
      <c r="A184" s="36" t="n">
        <v>44363</v>
      </c>
      <c r="B184" t="n">
        <v>0.05072186846456334</v>
      </c>
    </row>
    <row r="185">
      <c r="A185" s="36" t="n">
        <v>44364</v>
      </c>
      <c r="B185" t="n">
        <v>0.05201141633818263</v>
      </c>
    </row>
    <row r="186">
      <c r="A186" s="36" t="n">
        <v>44365</v>
      </c>
      <c r="B186" t="n">
        <v>0.05420140448827576</v>
      </c>
    </row>
    <row r="187">
      <c r="A187" s="36" t="n">
        <v>44369</v>
      </c>
      <c r="B187" t="n">
        <v>0.05266044736812331</v>
      </c>
    </row>
    <row r="188">
      <c r="A188" s="36" t="n">
        <v>44370</v>
      </c>
      <c r="B188" t="n">
        <v>0.05265081283483314</v>
      </c>
    </row>
    <row r="189">
      <c r="A189" s="36" t="n">
        <v>44371</v>
      </c>
      <c r="B189" t="n">
        <v>0.05223995915225477</v>
      </c>
    </row>
    <row r="190">
      <c r="A190" s="36" t="n">
        <v>44372</v>
      </c>
      <c r="B190" t="n">
        <v>0.05402832698313415</v>
      </c>
    </row>
    <row r="191">
      <c r="A191" s="36" t="n">
        <v>44375</v>
      </c>
      <c r="B191" t="n">
        <v>0.05250020872130695</v>
      </c>
    </row>
    <row r="192">
      <c r="A192" s="36" t="n">
        <v>44376</v>
      </c>
      <c r="B192" t="n">
        <v>0.05328987651673578</v>
      </c>
    </row>
    <row r="193">
      <c r="A193" s="36" t="n">
        <v>44377</v>
      </c>
      <c r="B193" t="n">
        <v>0.05068002934900429</v>
      </c>
    </row>
    <row r="194">
      <c r="A194" s="36" t="n">
        <v>44378</v>
      </c>
      <c r="B194" t="n">
        <v>0.04907088019634259</v>
      </c>
    </row>
    <row r="195">
      <c r="A195" s="36" t="n">
        <v>44379</v>
      </c>
      <c r="B195" t="n">
        <v>0.04756240194339567</v>
      </c>
    </row>
    <row r="196">
      <c r="A196" s="36" t="n">
        <v>44382</v>
      </c>
      <c r="B196" t="n">
        <v>0.04903557965538546</v>
      </c>
    </row>
    <row r="197">
      <c r="A197" s="36" t="n">
        <v>44383</v>
      </c>
      <c r="B197" t="n">
        <v>0.05222664488539075</v>
      </c>
    </row>
    <row r="198">
      <c r="A198" s="36" t="n">
        <v>44384</v>
      </c>
      <c r="B198" t="n">
        <v>0.04341736680768654</v>
      </c>
    </row>
    <row r="199">
      <c r="A199" s="36" t="n">
        <v>44385</v>
      </c>
      <c r="B199" t="n">
        <v>0.04040865848225766</v>
      </c>
    </row>
    <row r="200">
      <c r="A200" s="36" t="n">
        <v>44389</v>
      </c>
      <c r="B200" t="n">
        <v>0.03897385512432072</v>
      </c>
    </row>
    <row r="201">
      <c r="A201" s="36" t="n">
        <v>44390</v>
      </c>
      <c r="B201" t="n">
        <v>0.03296498371964279</v>
      </c>
    </row>
    <row r="202">
      <c r="A202" s="36" t="n">
        <v>44391</v>
      </c>
      <c r="B202" t="n">
        <v>0.0379557259121126</v>
      </c>
    </row>
    <row r="203">
      <c r="A203" s="36" t="n">
        <v>44392</v>
      </c>
      <c r="B203" t="n">
        <v>0.03644694667442433</v>
      </c>
    </row>
    <row r="204">
      <c r="A204" s="36" t="n">
        <v>44393</v>
      </c>
      <c r="B204" t="n">
        <v>0.03743803203329665</v>
      </c>
    </row>
    <row r="205">
      <c r="A205" s="36" t="n">
        <v>44396</v>
      </c>
      <c r="B205" t="n">
        <v>0.03651103392779548</v>
      </c>
    </row>
    <row r="206">
      <c r="A206" s="36" t="n">
        <v>44397</v>
      </c>
      <c r="B206" t="n">
        <v>0.0387010029876978</v>
      </c>
    </row>
    <row r="207">
      <c r="A207" s="36" t="n">
        <v>44398</v>
      </c>
      <c r="B207" t="n">
        <v>0.03929140675704651</v>
      </c>
    </row>
    <row r="208">
      <c r="A208" s="36" t="n">
        <v>44399</v>
      </c>
      <c r="B208" t="n">
        <v>0.0388823787043181</v>
      </c>
    </row>
    <row r="209">
      <c r="A209" s="36" t="n">
        <v>44400</v>
      </c>
      <c r="B209" t="n">
        <v>0.0364741207702805</v>
      </c>
    </row>
    <row r="210">
      <c r="A210" s="36" t="n">
        <v>44403</v>
      </c>
      <c r="B210" t="n">
        <v>0.03544697442551559</v>
      </c>
    </row>
    <row r="211">
      <c r="A211" s="36" t="n">
        <v>44404</v>
      </c>
      <c r="B211" t="n">
        <v>0.03583799632353418</v>
      </c>
    </row>
    <row r="212">
      <c r="A212" s="36" t="n">
        <v>44405</v>
      </c>
      <c r="B212" t="n">
        <v>0.03252953468437841</v>
      </c>
    </row>
    <row r="213">
      <c r="A213" s="36" t="n">
        <v>44406</v>
      </c>
      <c r="B213" t="n">
        <v>0.03342108164056939</v>
      </c>
    </row>
    <row r="214">
      <c r="A214" s="36" t="n">
        <v>44407</v>
      </c>
      <c r="B214" t="n">
        <v>0.03201254398084219</v>
      </c>
    </row>
    <row r="215">
      <c r="A215" s="36" t="n">
        <v>44409</v>
      </c>
      <c r="B215" t="n">
        <v>0.03129503415878587</v>
      </c>
    </row>
    <row r="216">
      <c r="A216" s="36" t="n">
        <v>44410</v>
      </c>
      <c r="B216" t="n">
        <v>0.02928686840497829</v>
      </c>
    </row>
    <row r="217">
      <c r="A217" s="36" t="n">
        <v>44411</v>
      </c>
      <c r="B217" t="n">
        <v>0.02977926936463687</v>
      </c>
    </row>
    <row r="218">
      <c r="A218" s="36" t="n">
        <v>44412</v>
      </c>
      <c r="B218" t="n">
        <v>0.03257100746924407</v>
      </c>
    </row>
    <row r="219">
      <c r="A219" s="36" t="n">
        <v>44413</v>
      </c>
      <c r="B219" t="n">
        <v>0.03476232726089534</v>
      </c>
    </row>
    <row r="220">
      <c r="A220" s="36" t="n">
        <v>44417</v>
      </c>
      <c r="B220" t="n">
        <v>0.03392819979099526</v>
      </c>
    </row>
    <row r="221">
      <c r="A221" s="36" t="n">
        <v>44418</v>
      </c>
      <c r="B221" t="n">
        <v>0.03561634210364722</v>
      </c>
    </row>
    <row r="222">
      <c r="A222" s="36" t="n">
        <v>44419</v>
      </c>
      <c r="B222" t="n">
        <v>0.03590626735380237</v>
      </c>
    </row>
    <row r="223">
      <c r="A223" s="36" t="n">
        <v>44420</v>
      </c>
      <c r="B223" t="n">
        <v>0.03189482867218424</v>
      </c>
    </row>
    <row r="224">
      <c r="A224" s="36" t="n">
        <v>44421</v>
      </c>
      <c r="B224" t="n">
        <v>0.02869353791970203</v>
      </c>
    </row>
    <row r="225">
      <c r="A225" s="36" t="inlineStr">
        <is>
          <t>Total general</t>
        </is>
      </c>
      <c r="B225" t="n">
        <v>12.64692088486292</v>
      </c>
    </row>
  </sheetData>
  <pageMargins left="0.7" right="0.7" top="0.75" bottom="0.75" header="0.3" footer="0.3"/>
  <pageSetup orientation="portrait" paperSize="9" verticalDpi="300"/>
  <drawing xmlns:r="http://schemas.openxmlformats.org/officeDocument/2006/relationships" r:id="rId1"/>
</worksheet>
</file>

<file path=xl/worksheets/sheet11.xml><?xml version="1.0" encoding="utf-8"?>
<worksheet xmlns="http://schemas.openxmlformats.org/spreadsheetml/2006/main">
  <sheetPr codeName="Hoja4">
    <outlinePr summaryBelow="1" summaryRight="1"/>
    <pageSetUpPr/>
  </sheetPr>
  <dimension ref="A1:B20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8.85546875" bestFit="1" customWidth="1" style="76" min="3" max="3"/>
  </cols>
  <sheetData>
    <row r="1">
      <c r="A1" s="35" t="inlineStr">
        <is>
          <t>Etiquetas de fila</t>
        </is>
      </c>
      <c r="B1" t="inlineStr">
        <is>
          <t>Suma de 29-41</t>
        </is>
      </c>
    </row>
    <row r="2">
      <c r="A2" s="36" t="n">
        <v>44088</v>
      </c>
      <c r="B2" s="25" t="n">
        <v>0.08191456564397614</v>
      </c>
    </row>
    <row r="3">
      <c r="A3" s="36" t="n">
        <v>44089</v>
      </c>
      <c r="B3" s="25" t="n">
        <v>0.08677789589345825</v>
      </c>
    </row>
    <row r="4">
      <c r="A4" s="36" t="n">
        <v>44090</v>
      </c>
      <c r="B4" s="25" t="n">
        <v>0.08207788514770475</v>
      </c>
    </row>
    <row r="5">
      <c r="A5" s="36" t="n">
        <v>44091</v>
      </c>
      <c r="B5" s="25" t="n">
        <v>0.08864809877853108</v>
      </c>
    </row>
    <row r="6">
      <c r="A6" s="36" t="n">
        <v>44092</v>
      </c>
      <c r="B6" s="25" t="n">
        <v>0.08702297158520889</v>
      </c>
    </row>
    <row r="7">
      <c r="A7" s="36" t="n">
        <v>44095</v>
      </c>
      <c r="B7" s="25" t="n">
        <v>0.09142432258187932</v>
      </c>
    </row>
    <row r="8">
      <c r="A8" s="36" t="n">
        <v>44096</v>
      </c>
      <c r="B8" s="25" t="n">
        <v>0.09084882226185242</v>
      </c>
    </row>
    <row r="9">
      <c r="A9" s="36" t="n">
        <v>44097</v>
      </c>
      <c r="B9" s="25" t="n">
        <v>0.09391703874117652</v>
      </c>
    </row>
    <row r="10">
      <c r="A10" s="36" t="n">
        <v>44098</v>
      </c>
      <c r="B10" s="25" t="n">
        <v>0.08459384041115775</v>
      </c>
    </row>
    <row r="11">
      <c r="A11" s="36" t="n">
        <v>44099</v>
      </c>
      <c r="B11" s="25" t="n">
        <v>0.06768698608512436</v>
      </c>
    </row>
    <row r="12">
      <c r="A12" s="36" t="n">
        <v>44102</v>
      </c>
      <c r="B12" s="25" t="n">
        <v>0.07114543464757306</v>
      </c>
    </row>
    <row r="13">
      <c r="A13" s="36" t="n">
        <v>44103</v>
      </c>
      <c r="B13" s="25" t="n">
        <v>0.07281571041368284</v>
      </c>
    </row>
    <row r="14">
      <c r="A14" s="36" t="n">
        <v>44104</v>
      </c>
      <c r="B14" s="25" t="n">
        <v>0.07159354255931588</v>
      </c>
    </row>
    <row r="15">
      <c r="A15" s="36" t="n">
        <v>44105</v>
      </c>
      <c r="B15" s="25" t="n">
        <v>0.06770486519563246</v>
      </c>
    </row>
    <row r="16">
      <c r="A16" s="36" t="n">
        <v>44106</v>
      </c>
      <c r="B16" s="25" t="n">
        <v>0.05762959864163297</v>
      </c>
    </row>
    <row r="17">
      <c r="A17" s="36" t="n">
        <v>44109</v>
      </c>
      <c r="B17" s="25" t="n">
        <v>0.05699119501476535</v>
      </c>
    </row>
    <row r="18">
      <c r="A18" s="36" t="n">
        <v>44110</v>
      </c>
      <c r="B18" s="25" t="n">
        <v>0.05617317856632043</v>
      </c>
    </row>
    <row r="19">
      <c r="A19" s="36" t="n">
        <v>44111</v>
      </c>
      <c r="B19" s="25" t="n">
        <v>0.05847342663972382</v>
      </c>
    </row>
    <row r="20">
      <c r="A20" s="36" t="n">
        <v>44112</v>
      </c>
      <c r="B20" s="25" t="n">
        <v>0.06125683754666944</v>
      </c>
    </row>
    <row r="21">
      <c r="A21" s="36" t="n">
        <v>44113</v>
      </c>
      <c r="B21" s="25" t="n">
        <v>0.06436894922571024</v>
      </c>
    </row>
    <row r="22">
      <c r="A22" s="36" t="n">
        <v>44117</v>
      </c>
      <c r="B22" s="25" t="n">
        <v>0.06501255482288204</v>
      </c>
    </row>
    <row r="23">
      <c r="A23" s="36" t="n">
        <v>44118</v>
      </c>
      <c r="B23" s="25" t="n">
        <v>0.06997022775090028</v>
      </c>
    </row>
    <row r="24">
      <c r="A24" s="36" t="n">
        <v>44119</v>
      </c>
      <c r="B24" s="25" t="n">
        <v>0.08354955892986043</v>
      </c>
    </row>
    <row r="25">
      <c r="A25" s="36" t="n">
        <v>44120</v>
      </c>
      <c r="B25" s="25" t="n">
        <v>0.08792571823162681</v>
      </c>
    </row>
    <row r="26">
      <c r="A26" s="36" t="n">
        <v>44123</v>
      </c>
      <c r="B26" s="25" t="n">
        <v>0.0799351221016204</v>
      </c>
    </row>
    <row r="27">
      <c r="A27" s="36" t="n">
        <v>44124</v>
      </c>
      <c r="B27" s="25" t="n">
        <v>0.07170237449123129</v>
      </c>
    </row>
    <row r="28">
      <c r="A28" s="36" t="n">
        <v>44125</v>
      </c>
      <c r="B28" s="25" t="n">
        <v>0.07496213130981033</v>
      </c>
    </row>
    <row r="29">
      <c r="A29" s="36" t="n">
        <v>44126</v>
      </c>
      <c r="B29" s="25" t="n">
        <v>0.07771206267003294</v>
      </c>
    </row>
    <row r="30">
      <c r="A30" s="36" t="n">
        <v>44127</v>
      </c>
      <c r="B30" s="25" t="n">
        <v>0.09791703166231719</v>
      </c>
    </row>
    <row r="31">
      <c r="A31" s="36" t="n">
        <v>44130</v>
      </c>
      <c r="B31" s="25" t="n">
        <v>0.07417177049071466</v>
      </c>
    </row>
    <row r="32">
      <c r="A32" s="36" t="n">
        <v>44131</v>
      </c>
      <c r="B32" s="25" t="n">
        <v>0.09272806753184298</v>
      </c>
    </row>
    <row r="33">
      <c r="A33" s="36" t="n">
        <v>44132</v>
      </c>
      <c r="B33" s="25" t="n">
        <v>0.1069032074459327</v>
      </c>
    </row>
    <row r="34">
      <c r="A34" s="36" t="n">
        <v>44133</v>
      </c>
      <c r="B34" s="25" t="n">
        <v>0.1208805497501313</v>
      </c>
    </row>
    <row r="35">
      <c r="A35" s="36" t="n">
        <v>44134</v>
      </c>
      <c r="B35" s="25" t="n">
        <v>0.1168321370483302</v>
      </c>
    </row>
    <row r="36">
      <c r="A36" s="36" t="n">
        <v>44137</v>
      </c>
      <c r="B36" s="25" t="n">
        <v>0.1038155769204342</v>
      </c>
    </row>
    <row r="37">
      <c r="A37" s="36" t="n">
        <v>44138</v>
      </c>
      <c r="B37" s="25" t="n">
        <v>0.1105755862469043</v>
      </c>
    </row>
    <row r="38">
      <c r="A38" s="36" t="n">
        <v>44139</v>
      </c>
      <c r="B38" s="25" t="n">
        <v>0.1117712937071584</v>
      </c>
    </row>
    <row r="39">
      <c r="A39" s="36" t="n">
        <v>44140</v>
      </c>
      <c r="B39" s="25" t="n">
        <v>0.1116955602127823</v>
      </c>
    </row>
    <row r="40">
      <c r="A40" s="36" t="n">
        <v>44141</v>
      </c>
      <c r="B40" s="25" t="n">
        <v>0.1109781983611601</v>
      </c>
    </row>
    <row r="41">
      <c r="A41" s="36" t="n">
        <v>44144</v>
      </c>
      <c r="B41" s="25" t="n">
        <v>0.1122619603634422</v>
      </c>
    </row>
    <row r="42">
      <c r="A42" s="36" t="n">
        <v>44145</v>
      </c>
      <c r="B42" s="25" t="n">
        <v>0.1022101909629526</v>
      </c>
    </row>
    <row r="43">
      <c r="A43" s="36" t="n">
        <v>44146</v>
      </c>
      <c r="B43" s="25" t="n">
        <v>0.09677413497950921</v>
      </c>
    </row>
    <row r="44">
      <c r="A44" s="36" t="n">
        <v>44147</v>
      </c>
      <c r="B44" s="25" t="n">
        <v>0.08610805365702384</v>
      </c>
    </row>
    <row r="45">
      <c r="A45" s="36" t="n">
        <v>44148</v>
      </c>
      <c r="B45" s="25" t="n">
        <v>0.09376073833949466</v>
      </c>
    </row>
    <row r="46">
      <c r="A46" s="36" t="n">
        <v>44151</v>
      </c>
      <c r="B46" s="25" t="n">
        <v>0.09082462556219656</v>
      </c>
    </row>
    <row r="47">
      <c r="A47" s="36" t="n">
        <v>44152</v>
      </c>
      <c r="B47" s="25" t="n">
        <v>0.08505512843772439</v>
      </c>
    </row>
    <row r="48">
      <c r="A48" s="36" t="n">
        <v>44153</v>
      </c>
      <c r="B48" s="25" t="n">
        <v>0.08100999475057247</v>
      </c>
    </row>
    <row r="49">
      <c r="A49" s="36" t="n">
        <v>44154</v>
      </c>
      <c r="B49" s="25" t="n">
        <v>0.07292556521207733</v>
      </c>
    </row>
    <row r="50">
      <c r="A50" s="36" t="n">
        <v>44155</v>
      </c>
      <c r="B50" s="25" t="n">
        <v>0.07240906364808541</v>
      </c>
    </row>
    <row r="51">
      <c r="A51" s="36" t="n">
        <v>44159</v>
      </c>
      <c r="B51" s="25" t="n">
        <v>0.07889677820229613</v>
      </c>
    </row>
    <row r="52">
      <c r="A52" s="36" t="n">
        <v>44160</v>
      </c>
      <c r="B52" s="25" t="n">
        <v>0.0823376529888733</v>
      </c>
    </row>
    <row r="53">
      <c r="A53" s="36" t="n">
        <v>44161</v>
      </c>
      <c r="B53" s="25" t="n">
        <v>0.08541040274831074</v>
      </c>
    </row>
    <row r="54">
      <c r="A54" s="36" t="n">
        <v>44162</v>
      </c>
      <c r="B54" s="25" t="n">
        <v>0.08208464728906512</v>
      </c>
    </row>
    <row r="55">
      <c r="A55" s="36" t="n">
        <v>44165</v>
      </c>
      <c r="B55" s="25" t="n">
        <v>0.07430559037752704</v>
      </c>
    </row>
    <row r="56">
      <c r="A56" s="36" t="n">
        <v>44166</v>
      </c>
      <c r="B56" s="25" t="n">
        <v>0.07487748676091688</v>
      </c>
    </row>
    <row r="57">
      <c r="A57" s="36" t="n">
        <v>44167</v>
      </c>
      <c r="B57" s="25" t="n">
        <v>0.07286027901207592</v>
      </c>
    </row>
    <row r="58">
      <c r="A58" s="36" t="n">
        <v>44168</v>
      </c>
      <c r="B58" s="25" t="n">
        <v>0.07325229322884347</v>
      </c>
    </row>
    <row r="59">
      <c r="A59" s="36" t="n">
        <v>44169</v>
      </c>
      <c r="B59" s="25" t="n">
        <v>0.07514121180223249</v>
      </c>
    </row>
    <row r="60">
      <c r="A60" s="36" t="n">
        <v>44174</v>
      </c>
      <c r="B60" s="25" t="n">
        <v>0.07448573377601903</v>
      </c>
    </row>
    <row r="61">
      <c r="A61" s="36" t="n">
        <v>44175</v>
      </c>
      <c r="B61" s="25" t="n">
        <v>0.07589775362185958</v>
      </c>
    </row>
    <row r="62">
      <c r="A62" s="36" t="n">
        <v>44176</v>
      </c>
      <c r="B62" s="25" t="n">
        <v>0.07217447450076087</v>
      </c>
    </row>
    <row r="63">
      <c r="A63" s="36" t="n">
        <v>44179</v>
      </c>
      <c r="B63" s="25" t="n">
        <v>0.07515433320442022</v>
      </c>
    </row>
    <row r="64">
      <c r="A64" s="36" t="n">
        <v>44180</v>
      </c>
      <c r="B64" s="25" t="n">
        <v>0.07162399525681762</v>
      </c>
    </row>
    <row r="65">
      <c r="A65" s="36" t="n">
        <v>44181</v>
      </c>
      <c r="B65" s="25" t="n">
        <v>0.06960232414392853</v>
      </c>
    </row>
    <row r="66">
      <c r="A66" s="36" t="n">
        <v>44182</v>
      </c>
      <c r="B66" s="25" t="n">
        <v>0.06729138169022791</v>
      </c>
    </row>
    <row r="67">
      <c r="A67" s="36" t="n">
        <v>44183</v>
      </c>
      <c r="B67" s="25" t="n">
        <v>0.06458800294741379</v>
      </c>
    </row>
    <row r="68">
      <c r="A68" s="36" t="n">
        <v>44186</v>
      </c>
      <c r="B68" s="25" t="n">
        <v>0.06868195979358677</v>
      </c>
    </row>
    <row r="69">
      <c r="A69" s="36" t="n">
        <v>44187</v>
      </c>
      <c r="B69" s="25" t="n">
        <v>0.06557369294280313</v>
      </c>
    </row>
    <row r="70">
      <c r="A70" s="36" t="n">
        <v>44188</v>
      </c>
      <c r="B70" s="25" t="n">
        <v>0.06776326973750324</v>
      </c>
    </row>
    <row r="71">
      <c r="A71" s="36" t="n">
        <v>44193</v>
      </c>
      <c r="B71" s="25" t="n">
        <v>0.0674092667941078</v>
      </c>
    </row>
    <row r="72">
      <c r="A72" s="36" t="n">
        <v>44194</v>
      </c>
      <c r="B72" s="25" t="n">
        <v>0.06800428328442637</v>
      </c>
    </row>
    <row r="73">
      <c r="A73" s="36" t="n">
        <v>44195</v>
      </c>
      <c r="B73" s="25" t="n">
        <v>0.06649280194642693</v>
      </c>
    </row>
    <row r="74">
      <c r="A74" s="36" t="n">
        <v>44200</v>
      </c>
      <c r="B74" s="25" t="n">
        <v>0.0674966431676034</v>
      </c>
    </row>
    <row r="75">
      <c r="A75" s="36" t="n">
        <v>44201</v>
      </c>
      <c r="B75" s="25" t="n">
        <v>0.06938268704031658</v>
      </c>
    </row>
    <row r="76">
      <c r="A76" s="36" t="n">
        <v>44202</v>
      </c>
      <c r="B76" s="25" t="n">
        <v>0.07088448960635069</v>
      </c>
    </row>
    <row r="77">
      <c r="A77" s="36" t="n">
        <v>44203</v>
      </c>
      <c r="B77" s="25" t="n">
        <v>0.06565901801393903</v>
      </c>
    </row>
    <row r="78">
      <c r="A78" s="36" t="n">
        <v>44204</v>
      </c>
      <c r="B78" s="25" t="n">
        <v>0.06433131959032812</v>
      </c>
    </row>
    <row r="79">
      <c r="A79" s="36" t="n">
        <v>44207</v>
      </c>
      <c r="B79" s="25" t="n">
        <v>0.06449763965465205</v>
      </c>
    </row>
    <row r="80">
      <c r="A80" s="36" t="n">
        <v>44208</v>
      </c>
      <c r="B80" s="25" t="n">
        <v>0.06429514386563301</v>
      </c>
    </row>
    <row r="81">
      <c r="A81" s="36" t="n">
        <v>44209</v>
      </c>
      <c r="B81" s="25" t="n">
        <v>0.06466775488815929</v>
      </c>
    </row>
    <row r="82">
      <c r="A82" s="36" t="n">
        <v>44210</v>
      </c>
      <c r="B82" s="25" t="n">
        <v>0.06604540779456736</v>
      </c>
    </row>
    <row r="83">
      <c r="A83" s="36" t="n">
        <v>44211</v>
      </c>
      <c r="B83" s="25" t="n">
        <v>0.06602911112632259</v>
      </c>
    </row>
    <row r="84">
      <c r="A84" s="36" t="n">
        <v>44214</v>
      </c>
      <c r="B84" s="25" t="n">
        <v>0.06469937738361314</v>
      </c>
    </row>
    <row r="85">
      <c r="A85" s="36" t="n">
        <v>44215</v>
      </c>
      <c r="B85" s="25" t="n">
        <v>0.06519386000764488</v>
      </c>
    </row>
    <row r="86">
      <c r="A86" s="36" t="n">
        <v>44216</v>
      </c>
      <c r="B86" s="25" t="n">
        <v>0.06267302432850652</v>
      </c>
    </row>
    <row r="87">
      <c r="A87" s="36" t="n">
        <v>44217</v>
      </c>
      <c r="B87" s="25" t="n">
        <v>0.06666259811199282</v>
      </c>
    </row>
    <row r="88">
      <c r="A88" s="36" t="n">
        <v>44218</v>
      </c>
      <c r="B88" s="25" t="n">
        <v>0.06465560713140472</v>
      </c>
    </row>
    <row r="89">
      <c r="A89" s="36" t="n">
        <v>44221</v>
      </c>
      <c r="B89" s="25" t="n">
        <v>0.06452146489529986</v>
      </c>
    </row>
    <row r="90">
      <c r="A90" s="36" t="n">
        <v>44222</v>
      </c>
      <c r="B90" s="25" t="n">
        <v>0.06410978356002767</v>
      </c>
    </row>
    <row r="91">
      <c r="A91" s="36" t="n">
        <v>44223</v>
      </c>
      <c r="B91" s="25" t="n">
        <v>0.06109785093530257</v>
      </c>
    </row>
    <row r="92">
      <c r="A92" s="36" t="n">
        <v>44224</v>
      </c>
      <c r="B92" s="25" t="n">
        <v>0.05907166787129436</v>
      </c>
    </row>
    <row r="93">
      <c r="A93" s="36" t="n">
        <v>44225</v>
      </c>
      <c r="B93" s="25" t="n">
        <v>0.06216750777264629</v>
      </c>
    </row>
    <row r="94">
      <c r="A94" s="36" t="n">
        <v>44228</v>
      </c>
      <c r="B94" s="25" t="n">
        <v>0.06334756338655284</v>
      </c>
    </row>
    <row r="95">
      <c r="A95" s="36" t="n">
        <v>44229</v>
      </c>
      <c r="B95" s="25" t="n">
        <v>0.06454101496102743</v>
      </c>
    </row>
    <row r="96">
      <c r="A96" s="36" t="n">
        <v>44230</v>
      </c>
      <c r="B96" s="25" t="n">
        <v>0.06402149139812097</v>
      </c>
    </row>
    <row r="97">
      <c r="A97" s="36" t="n">
        <v>44231</v>
      </c>
      <c r="B97" s="25" t="n">
        <v>0.05940476901168862</v>
      </c>
    </row>
    <row r="98">
      <c r="A98" s="36" t="n">
        <v>44232</v>
      </c>
      <c r="B98" s="25" t="n">
        <v>0.05879469880302768</v>
      </c>
    </row>
    <row r="99">
      <c r="A99" s="36" t="n">
        <v>44235</v>
      </c>
      <c r="B99" s="25" t="n">
        <v>0.05996861433352568</v>
      </c>
    </row>
    <row r="100">
      <c r="A100" s="36" t="n">
        <v>44236</v>
      </c>
      <c r="B100" s="25" t="n">
        <v>0.05935564565939572</v>
      </c>
    </row>
    <row r="101">
      <c r="A101" s="36" t="n">
        <v>44237</v>
      </c>
      <c r="B101" s="25" t="n">
        <v>0.06124471441831214</v>
      </c>
    </row>
    <row r="102">
      <c r="A102" s="36" t="n">
        <v>44238</v>
      </c>
      <c r="B102" s="25" t="n">
        <v>0.05732194806634822</v>
      </c>
    </row>
    <row r="103">
      <c r="A103" s="36" t="n">
        <v>44239</v>
      </c>
      <c r="B103" s="25" t="n">
        <v>0.05740880775710827</v>
      </c>
    </row>
    <row r="104">
      <c r="A104" s="36" t="n">
        <v>44244</v>
      </c>
      <c r="B104" s="25" t="n">
        <v>0.0597512509927598</v>
      </c>
    </row>
    <row r="105">
      <c r="A105" s="36" t="n">
        <v>44245</v>
      </c>
      <c r="B105" s="25" t="n">
        <v>0.0622517288917292</v>
      </c>
    </row>
    <row r="106">
      <c r="A106" s="36" t="n">
        <v>44246</v>
      </c>
      <c r="B106" s="25" t="n">
        <v>0.05682602835936296</v>
      </c>
    </row>
    <row r="107">
      <c r="A107" s="36" t="n">
        <v>44249</v>
      </c>
      <c r="B107" s="25" t="n">
        <v>0.05638741296127431</v>
      </c>
    </row>
    <row r="108">
      <c r="A108" s="36" t="n">
        <v>44250</v>
      </c>
      <c r="B108" s="25" t="n">
        <v>0.05075703317809893</v>
      </c>
    </row>
    <row r="109">
      <c r="A109" s="36" t="n">
        <v>44251</v>
      </c>
      <c r="B109" s="25" t="n">
        <v>0.04925388313287815</v>
      </c>
    </row>
    <row r="110">
      <c r="A110" s="36" t="n">
        <v>44252</v>
      </c>
      <c r="B110" s="25" t="n">
        <v>0.04844483506467001</v>
      </c>
    </row>
    <row r="111">
      <c r="A111" s="36" t="n">
        <v>44253</v>
      </c>
      <c r="B111" s="25" t="n">
        <v>0.05074071763193316</v>
      </c>
    </row>
    <row r="112">
      <c r="A112" s="36" t="n">
        <v>44256</v>
      </c>
      <c r="B112" s="25" t="n">
        <v>0.05111717956210027</v>
      </c>
    </row>
    <row r="113">
      <c r="A113" s="36" t="n">
        <v>44257</v>
      </c>
      <c r="B113" s="25" t="n">
        <v>0.05559424476632696</v>
      </c>
    </row>
    <row r="114">
      <c r="A114" s="36" t="n">
        <v>44258</v>
      </c>
      <c r="B114" s="25" t="n">
        <v>0.05577918556092037</v>
      </c>
    </row>
    <row r="115">
      <c r="A115" s="36" t="n">
        <v>44259</v>
      </c>
      <c r="B115" s="25" t="n">
        <v>0.0561792811412975</v>
      </c>
    </row>
    <row r="116">
      <c r="A116" s="36" t="n">
        <v>44260</v>
      </c>
      <c r="B116" s="25" t="n">
        <v>0.05366008698186581</v>
      </c>
    </row>
    <row r="117">
      <c r="A117" s="36" t="n">
        <v>44263</v>
      </c>
      <c r="B117" s="25" t="n">
        <v>0.05001249452604073</v>
      </c>
    </row>
    <row r="118">
      <c r="A118" s="36" t="n">
        <v>44264</v>
      </c>
      <c r="B118" s="25" t="n">
        <v>0.04378203637831718</v>
      </c>
    </row>
    <row r="119">
      <c r="A119" s="36" t="n">
        <v>44265</v>
      </c>
      <c r="B119" s="25" t="n">
        <v>0.03683387986385189</v>
      </c>
    </row>
    <row r="120">
      <c r="A120" s="36" t="n">
        <v>44266</v>
      </c>
      <c r="B120" s="25" t="n">
        <v>0.0355233259498075</v>
      </c>
    </row>
    <row r="121">
      <c r="A121" s="36" t="n">
        <v>44267</v>
      </c>
      <c r="B121" s="25" t="n">
        <v>0.03112900749941716</v>
      </c>
    </row>
    <row r="122">
      <c r="A122" s="36" t="n">
        <v>44270</v>
      </c>
      <c r="B122" s="25" t="n">
        <v>0.03133012431403237</v>
      </c>
    </row>
    <row r="123">
      <c r="A123" s="36" t="n">
        <v>44271</v>
      </c>
      <c r="B123" s="25" t="n">
        <v>0.03262642819069816</v>
      </c>
    </row>
    <row r="124">
      <c r="A124" s="36" t="n">
        <v>44272</v>
      </c>
      <c r="B124" s="25" t="n">
        <v>0.031922408991433</v>
      </c>
    </row>
    <row r="125">
      <c r="A125" s="36" t="n">
        <v>44273</v>
      </c>
      <c r="B125" s="25" t="n">
        <v>0.02870890861872089</v>
      </c>
    </row>
    <row r="126">
      <c r="A126" s="36" t="n">
        <v>44274</v>
      </c>
      <c r="B126" s="25" t="n">
        <v>0.0285074167084351</v>
      </c>
    </row>
    <row r="127">
      <c r="A127" s="36" t="n">
        <v>44277</v>
      </c>
      <c r="B127" s="25" t="n">
        <v>0.02799457556920304</v>
      </c>
    </row>
    <row r="128">
      <c r="A128" s="36" t="n">
        <v>44278</v>
      </c>
      <c r="B128" s="25" t="n">
        <v>0.02097503778736909</v>
      </c>
    </row>
    <row r="129">
      <c r="A129" s="36" t="n">
        <v>44280</v>
      </c>
      <c r="B129" s="25" t="n">
        <v>0.01893452640228138</v>
      </c>
    </row>
    <row r="130">
      <c r="A130" s="36" t="n">
        <v>44281</v>
      </c>
      <c r="B130" s="25" t="n">
        <v>0.02242946599464796</v>
      </c>
    </row>
    <row r="131">
      <c r="A131" s="36" t="n">
        <v>44284</v>
      </c>
      <c r="B131" s="25" t="n">
        <v>0.02469578112245857</v>
      </c>
    </row>
    <row r="132">
      <c r="A132" s="36" t="n">
        <v>44285</v>
      </c>
      <c r="B132" s="25" t="n">
        <v>0.0198760815176135</v>
      </c>
    </row>
    <row r="133">
      <c r="A133" s="36" t="n">
        <v>44286</v>
      </c>
      <c r="B133" s="25" t="n">
        <v>0.02537407436688016</v>
      </c>
    </row>
    <row r="134">
      <c r="A134" s="36" t="n">
        <v>44291</v>
      </c>
      <c r="B134" s="25" t="n">
        <v>0.02993539507175463</v>
      </c>
    </row>
    <row r="135">
      <c r="A135" s="36" t="n">
        <v>44292</v>
      </c>
      <c r="B135" s="25" t="n">
        <v>0.02982066803460476</v>
      </c>
    </row>
    <row r="136">
      <c r="A136" s="36" t="n">
        <v>44293</v>
      </c>
      <c r="B136" s="25" t="n">
        <v>0.02670846560583334</v>
      </c>
    </row>
    <row r="137">
      <c r="A137" s="36" t="n">
        <v>44294</v>
      </c>
      <c r="B137" s="25" t="n">
        <v>0.02860233733804157</v>
      </c>
    </row>
    <row r="138">
      <c r="A138" s="36" t="n">
        <v>44295</v>
      </c>
      <c r="B138" s="25" t="n">
        <v>0.0256870000866054</v>
      </c>
    </row>
    <row r="139">
      <c r="A139" s="36" t="n">
        <v>44298</v>
      </c>
      <c r="B139" s="25" t="n">
        <v>0.02827509546795348</v>
      </c>
    </row>
    <row r="140">
      <c r="A140" s="36" t="n">
        <v>44299</v>
      </c>
      <c r="B140" s="25" t="n">
        <v>0.02976984800554466</v>
      </c>
    </row>
    <row r="141">
      <c r="A141" s="36" t="n">
        <v>44300</v>
      </c>
      <c r="B141" s="25" t="n">
        <v>0.02966032630988996</v>
      </c>
    </row>
    <row r="142">
      <c r="A142" s="36" t="n">
        <v>44301</v>
      </c>
      <c r="B142" s="25" t="n">
        <v>0.03074626646496459</v>
      </c>
    </row>
    <row r="143">
      <c r="A143" s="36" t="n">
        <v>44302</v>
      </c>
      <c r="B143" s="25" t="n">
        <v>0.03123962711990413</v>
      </c>
    </row>
    <row r="144">
      <c r="A144" s="36" t="n">
        <v>44305</v>
      </c>
      <c r="B144" s="25" t="n">
        <v>0.03121314648327517</v>
      </c>
    </row>
    <row r="145">
      <c r="A145" s="36" t="n">
        <v>44306</v>
      </c>
      <c r="B145" s="25" t="n">
        <v>0.03220363345693317</v>
      </c>
    </row>
    <row r="146">
      <c r="A146" s="36" t="n">
        <v>44307</v>
      </c>
      <c r="B146" s="25" t="n">
        <v>0.03470023951036388</v>
      </c>
    </row>
    <row r="147">
      <c r="A147" s="36" t="n">
        <v>44308</v>
      </c>
      <c r="B147" s="25" t="n">
        <v>0.03219443536746819</v>
      </c>
    </row>
    <row r="148">
      <c r="A148" s="36" t="n">
        <v>44309</v>
      </c>
      <c r="B148" s="25" t="n">
        <v>0.03818616887716914</v>
      </c>
    </row>
    <row r="149">
      <c r="A149" s="36" t="n">
        <v>44312</v>
      </c>
      <c r="B149" s="25" t="n">
        <v>0.04106526611753186</v>
      </c>
    </row>
    <row r="150">
      <c r="A150" s="36" t="n">
        <v>44313</v>
      </c>
      <c r="B150" s="25" t="n">
        <v>0.04095868656542889</v>
      </c>
    </row>
    <row r="151">
      <c r="A151" s="36" t="n">
        <v>44314</v>
      </c>
      <c r="B151" s="25" t="n">
        <v>0.04165448695708851</v>
      </c>
    </row>
    <row r="152">
      <c r="A152" s="36" t="n">
        <v>44315</v>
      </c>
      <c r="B152" s="25" t="n">
        <v>0.04113757956111419</v>
      </c>
    </row>
    <row r="153">
      <c r="A153" s="36" t="n">
        <v>44316</v>
      </c>
      <c r="B153" s="25" t="n">
        <v>0.03962906160529289</v>
      </c>
    </row>
    <row r="154">
      <c r="A154" s="36" t="n">
        <v>44319</v>
      </c>
      <c r="B154" s="25" t="n">
        <v>0.04280149361868046</v>
      </c>
    </row>
    <row r="155">
      <c r="A155" s="36" t="n">
        <v>44320</v>
      </c>
      <c r="B155" s="25" t="n">
        <v>0.03979150275280519</v>
      </c>
    </row>
    <row r="156">
      <c r="A156" s="36" t="n">
        <v>44321</v>
      </c>
      <c r="B156" s="25" t="n">
        <v>0.03857991364289032</v>
      </c>
    </row>
    <row r="157">
      <c r="A157" s="36" t="n">
        <v>44322</v>
      </c>
      <c r="B157" s="25" t="n">
        <v>0.04107060019453102</v>
      </c>
    </row>
    <row r="158">
      <c r="A158" s="36" t="n">
        <v>44323</v>
      </c>
      <c r="B158" s="25" t="n">
        <v>0.04055792785903461</v>
      </c>
    </row>
    <row r="159">
      <c r="A159" s="36" t="n">
        <v>44326</v>
      </c>
      <c r="B159" s="25" t="n">
        <v>0.04203306064047713</v>
      </c>
    </row>
    <row r="160">
      <c r="A160" s="36" t="n">
        <v>44327</v>
      </c>
      <c r="B160" s="25" t="n">
        <v>0.04041802745862605</v>
      </c>
    </row>
    <row r="161">
      <c r="A161" s="36" t="n">
        <v>44328</v>
      </c>
      <c r="B161" s="25" t="n">
        <v>0.04111382818178172</v>
      </c>
    </row>
    <row r="162">
      <c r="A162" s="36" t="n">
        <v>44329</v>
      </c>
      <c r="B162" s="25" t="n">
        <v>0.04290722152504062</v>
      </c>
    </row>
    <row r="163">
      <c r="A163" s="36" t="n">
        <v>44330</v>
      </c>
      <c r="B163" s="25" t="n">
        <v>0.04421160153633708</v>
      </c>
    </row>
    <row r="164">
      <c r="A164" s="36" t="n">
        <v>44333</v>
      </c>
      <c r="B164" s="25" t="n">
        <v>0.04309196798773807</v>
      </c>
    </row>
    <row r="165">
      <c r="A165" s="36" t="n">
        <v>44334</v>
      </c>
      <c r="B165" s="25" t="n">
        <v>0.04548247406994305</v>
      </c>
    </row>
    <row r="166">
      <c r="A166" s="36" t="n">
        <v>44335</v>
      </c>
      <c r="B166" s="25" t="n">
        <v>0.03896531096251049</v>
      </c>
    </row>
    <row r="167">
      <c r="A167" s="36" t="n">
        <v>44336</v>
      </c>
      <c r="B167" s="25" t="n">
        <v>0.04335500610694232</v>
      </c>
    </row>
    <row r="168">
      <c r="A168" s="36" t="n">
        <v>44337</v>
      </c>
      <c r="B168" s="25" t="n">
        <v>0.03614044883763345</v>
      </c>
    </row>
    <row r="169">
      <c r="A169" s="36" t="n">
        <v>44342</v>
      </c>
      <c r="B169" s="25" t="n">
        <v>0.03110356356645622</v>
      </c>
    </row>
    <row r="170">
      <c r="A170" s="36" t="n">
        <v>44343</v>
      </c>
      <c r="B170" s="25" t="n">
        <v>0.02889746182826503</v>
      </c>
    </row>
    <row r="171">
      <c r="A171" s="36" t="n">
        <v>44344</v>
      </c>
      <c r="B171" s="25" t="n">
        <v>0.03078384248189381</v>
      </c>
    </row>
    <row r="172">
      <c r="A172" s="36" t="n">
        <v>44347</v>
      </c>
      <c r="B172" s="25" t="n">
        <v>0.03235623181178721</v>
      </c>
    </row>
    <row r="173">
      <c r="A173" s="36" t="n">
        <v>44348</v>
      </c>
      <c r="B173" s="25" t="n">
        <v>0.02984904175137609</v>
      </c>
    </row>
    <row r="174">
      <c r="A174" s="36" t="n">
        <v>44349</v>
      </c>
      <c r="B174" s="25" t="n">
        <v>0.03024433674577592</v>
      </c>
    </row>
    <row r="175">
      <c r="A175" s="36" t="n">
        <v>44350</v>
      </c>
      <c r="B175" s="25" t="n">
        <v>0.03733459960492469</v>
      </c>
    </row>
    <row r="176">
      <c r="A176" s="36" t="n">
        <v>44351</v>
      </c>
      <c r="B176" s="25" t="n">
        <v>0.03472372365604931</v>
      </c>
    </row>
    <row r="177">
      <c r="A177" s="36" t="n">
        <v>44354</v>
      </c>
      <c r="B177" s="25" t="n">
        <v>0.02849619076536181</v>
      </c>
    </row>
    <row r="178">
      <c r="A178" s="36" t="n">
        <v>44355</v>
      </c>
      <c r="B178" s="25" t="n">
        <v>0.02879127228400186</v>
      </c>
    </row>
    <row r="179">
      <c r="A179" s="36" t="n">
        <v>44356</v>
      </c>
      <c r="B179" s="25" t="n">
        <v>0.02928587830487933</v>
      </c>
    </row>
    <row r="180">
      <c r="A180" s="36" t="n">
        <v>44357</v>
      </c>
      <c r="B180" s="25" t="n">
        <v>0.02527733493836098</v>
      </c>
    </row>
    <row r="181">
      <c r="A181" s="36" t="n">
        <v>44358</v>
      </c>
      <c r="B181" s="25" t="n">
        <v>0.02227016302305102</v>
      </c>
    </row>
    <row r="182">
      <c r="A182" s="36" t="n">
        <v>44361</v>
      </c>
      <c r="B182" s="25" t="n">
        <v>0.01874059525010502</v>
      </c>
    </row>
    <row r="183">
      <c r="A183" s="36" t="n">
        <v>44362</v>
      </c>
      <c r="B183" s="25" t="n">
        <v>0.01442974725237411</v>
      </c>
    </row>
    <row r="184">
      <c r="A184" s="36" t="n">
        <v>44363</v>
      </c>
      <c r="B184" s="25" t="n">
        <v>0.02311969432070948</v>
      </c>
    </row>
    <row r="185">
      <c r="A185" s="36" t="n">
        <v>44364</v>
      </c>
      <c r="B185" s="25" t="n">
        <v>0.02340926138130234</v>
      </c>
    </row>
    <row r="186">
      <c r="A186" s="36" t="n">
        <v>44365</v>
      </c>
      <c r="B186" s="25" t="n">
        <v>0.02329918206817022</v>
      </c>
    </row>
    <row r="187">
      <c r="A187" s="36" t="n">
        <v>44369</v>
      </c>
      <c r="B187" s="25" t="n">
        <v>0.02415878802494237</v>
      </c>
    </row>
    <row r="188">
      <c r="A188" s="36" t="n">
        <v>44370</v>
      </c>
      <c r="B188" s="25" t="n">
        <v>0.02564933330170804</v>
      </c>
    </row>
    <row r="189">
      <c r="A189" s="36" t="n">
        <v>44371</v>
      </c>
      <c r="B189" s="25" t="n">
        <v>0.02423852072219845</v>
      </c>
    </row>
    <row r="190">
      <c r="A190" s="36" t="n">
        <v>44372</v>
      </c>
      <c r="B190" s="25" t="n">
        <v>0.0271270371952676</v>
      </c>
    </row>
    <row r="191">
      <c r="A191" s="36" t="n">
        <v>44375</v>
      </c>
      <c r="B191" s="25" t="n">
        <v>0.02749926690500565</v>
      </c>
    </row>
    <row r="192">
      <c r="A192" s="36" t="n">
        <v>44376</v>
      </c>
      <c r="B192" s="25" t="n">
        <v>0.02628895182753405</v>
      </c>
    </row>
    <row r="193">
      <c r="A193" s="36" t="n">
        <v>44377</v>
      </c>
      <c r="B193" s="25" t="n">
        <v>0.02467922795444077</v>
      </c>
    </row>
    <row r="194">
      <c r="A194" s="36" t="n">
        <v>44378</v>
      </c>
      <c r="B194" s="25" t="n">
        <v>0.01907005825601549</v>
      </c>
    </row>
    <row r="195">
      <c r="A195" s="36" t="n">
        <v>44379</v>
      </c>
      <c r="B195" s="25" t="n">
        <v>0.01756168274807252</v>
      </c>
    </row>
    <row r="196">
      <c r="A196" s="36" t="n">
        <v>44382</v>
      </c>
      <c r="B196" s="25" t="n">
        <v>0.01503511389558054</v>
      </c>
    </row>
    <row r="197">
      <c r="A197" s="36" t="n">
        <v>44383</v>
      </c>
      <c r="B197" s="25" t="n">
        <v>0.01702628323783956</v>
      </c>
    </row>
    <row r="198">
      <c r="A198" s="36" t="n">
        <v>44384</v>
      </c>
      <c r="B198" s="25" t="n">
        <v>0.009017131189634375</v>
      </c>
    </row>
    <row r="199">
      <c r="A199" s="36" t="n">
        <v>44385</v>
      </c>
      <c r="B199" s="25" t="n">
        <v>0.004908536906498895</v>
      </c>
    </row>
    <row r="200">
      <c r="A200" s="36" t="n">
        <v>44389</v>
      </c>
      <c r="B200" s="25" t="n">
        <v>0.005474199298866889</v>
      </c>
    </row>
    <row r="201">
      <c r="A201" s="36" t="n">
        <v>44390</v>
      </c>
      <c r="B201" s="25" t="n">
        <v>0.0004654289190236249</v>
      </c>
    </row>
    <row r="202">
      <c r="A202" s="36" t="n">
        <v>44391</v>
      </c>
      <c r="B202" s="25" t="n">
        <v>0.001156356038309048</v>
      </c>
    </row>
    <row r="203">
      <c r="A203" s="36" t="n">
        <v>44392</v>
      </c>
      <c r="B203" s="25" t="n">
        <v>0.0001476925495090819</v>
      </c>
    </row>
    <row r="204">
      <c r="A204" s="36" t="n">
        <v>44393</v>
      </c>
      <c r="B204" s="25" t="n">
        <v>-0.003560985113552573</v>
      </c>
    </row>
    <row r="205">
      <c r="A205" s="36" t="inlineStr">
        <is>
          <t>Total general</t>
        </is>
      </c>
      <c r="B205" t="n">
        <v>10.9925654980709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225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30-35</t>
        </is>
      </c>
    </row>
    <row r="2">
      <c r="A2" s="36" t="n">
        <v>44088</v>
      </c>
      <c r="B2" t="n">
        <v>0.07337488258565239</v>
      </c>
    </row>
    <row r="3">
      <c r="A3" s="36" t="n">
        <v>44089</v>
      </c>
      <c r="B3" t="n">
        <v>0.06536648577491488</v>
      </c>
    </row>
    <row r="4">
      <c r="A4" s="36" t="n">
        <v>44090</v>
      </c>
      <c r="B4" t="n">
        <v>0.06066149247182079</v>
      </c>
    </row>
    <row r="5">
      <c r="A5" s="36" t="n">
        <v>44091</v>
      </c>
      <c r="B5" t="n">
        <v>0.05155208172640163</v>
      </c>
    </row>
    <row r="6">
      <c r="A6" s="36" t="n">
        <v>44092</v>
      </c>
      <c r="B6" t="n">
        <v>0.0550554325245281</v>
      </c>
    </row>
    <row r="7">
      <c r="A7" s="36" t="n">
        <v>44095</v>
      </c>
      <c r="B7" t="n">
        <v>0.05885865708634286</v>
      </c>
    </row>
    <row r="8">
      <c r="A8" s="36" t="n">
        <v>44096</v>
      </c>
      <c r="B8" t="n">
        <v>0.06896849610914951</v>
      </c>
    </row>
    <row r="9">
      <c r="A9" s="36" t="n">
        <v>44097</v>
      </c>
      <c r="B9" t="n">
        <v>0.06806736804577129</v>
      </c>
    </row>
    <row r="10">
      <c r="A10" s="36" t="n">
        <v>44098</v>
      </c>
      <c r="B10" t="n">
        <v>0.04104047827994739</v>
      </c>
    </row>
    <row r="11">
      <c r="A11" s="36" t="n">
        <v>44099</v>
      </c>
      <c r="B11" t="n">
        <v>0.0370364022172478</v>
      </c>
    </row>
    <row r="12">
      <c r="A12" s="36" t="n">
        <v>44102</v>
      </c>
      <c r="B12" t="n">
        <v>0.03903796843505331</v>
      </c>
    </row>
    <row r="13">
      <c r="A13" s="36" t="n">
        <v>44103</v>
      </c>
      <c r="B13" t="n">
        <v>0.04774627464289027</v>
      </c>
    </row>
    <row r="14">
      <c r="A14" s="36" t="n">
        <v>44104</v>
      </c>
      <c r="B14" t="n">
        <v>0.03863731411842947</v>
      </c>
    </row>
    <row r="15">
      <c r="A15" s="36" t="n">
        <v>44105</v>
      </c>
      <c r="B15" t="n">
        <v>0.03903756697369731</v>
      </c>
    </row>
    <row r="16">
      <c r="A16" s="36" t="n">
        <v>44106</v>
      </c>
      <c r="B16" t="n">
        <v>0.04254079254079252</v>
      </c>
    </row>
    <row r="17">
      <c r="A17" s="36" t="n">
        <v>44109</v>
      </c>
      <c r="B17" t="n">
        <v>0.04904652701363965</v>
      </c>
    </row>
    <row r="18">
      <c r="A18" s="36" t="n">
        <v>44110</v>
      </c>
      <c r="B18" t="n">
        <v>0.04494247987824113</v>
      </c>
    </row>
    <row r="19">
      <c r="A19" s="36" t="n">
        <v>44111</v>
      </c>
      <c r="B19" t="n">
        <v>0.04704430542462934</v>
      </c>
    </row>
    <row r="20">
      <c r="A20" s="36" t="n">
        <v>44112</v>
      </c>
      <c r="B20" t="n">
        <v>0.04824527124767758</v>
      </c>
    </row>
    <row r="21">
      <c r="A21" s="36" t="n">
        <v>44113</v>
      </c>
      <c r="B21" t="n">
        <v>0.04734426364374911</v>
      </c>
    </row>
    <row r="22">
      <c r="A22" s="36" t="n">
        <v>44117</v>
      </c>
      <c r="B22" t="n">
        <v>0.05044647294939514</v>
      </c>
    </row>
    <row r="23">
      <c r="A23" s="36" t="n">
        <v>44118</v>
      </c>
      <c r="B23" t="n">
        <v>0.05074657562420304</v>
      </c>
    </row>
    <row r="24">
      <c r="A24" s="36" t="n">
        <v>44119</v>
      </c>
      <c r="B24" t="n">
        <v>0.06405857410714588</v>
      </c>
    </row>
    <row r="25">
      <c r="A25" s="36" t="n">
        <v>44120</v>
      </c>
      <c r="B25" t="n">
        <v>0.06525944867584849</v>
      </c>
    </row>
    <row r="26">
      <c r="A26" s="36" t="n">
        <v>44123</v>
      </c>
      <c r="B26" t="n">
        <v>0.07406671077031712</v>
      </c>
    </row>
    <row r="27">
      <c r="A27" s="36" t="n">
        <v>44124</v>
      </c>
      <c r="B27" t="n">
        <v>0.05344795672829739</v>
      </c>
    </row>
    <row r="28">
      <c r="A28" s="36" t="n">
        <v>44125</v>
      </c>
      <c r="B28" t="n">
        <v>0.05805188884585194</v>
      </c>
    </row>
    <row r="29">
      <c r="A29" s="36" t="n">
        <v>44126</v>
      </c>
      <c r="B29" t="n">
        <v>0.0510454514293549</v>
      </c>
    </row>
    <row r="30">
      <c r="A30" s="36" t="n">
        <v>44127</v>
      </c>
      <c r="B30" t="n">
        <v>0.04704172536599238</v>
      </c>
    </row>
    <row r="31">
      <c r="A31" s="36" t="n">
        <v>44130</v>
      </c>
      <c r="B31" t="n">
        <v>0.04033536250959741</v>
      </c>
    </row>
    <row r="32">
      <c r="A32" s="36" t="n">
        <v>44131</v>
      </c>
      <c r="B32" t="n">
        <v>0.04023513684896052</v>
      </c>
    </row>
    <row r="33">
      <c r="A33" s="36" t="n">
        <v>44132</v>
      </c>
      <c r="B33" t="n">
        <v>0.0380330835726968</v>
      </c>
    </row>
    <row r="34">
      <c r="A34" s="36" t="n">
        <v>44133</v>
      </c>
      <c r="B34" t="n">
        <v>0.0373323461766531</v>
      </c>
    </row>
    <row r="35">
      <c r="A35" s="36" t="n">
        <v>44134</v>
      </c>
      <c r="B35" t="n">
        <v>0.02952548089447055</v>
      </c>
    </row>
    <row r="36">
      <c r="A36" s="36" t="n">
        <v>44137</v>
      </c>
      <c r="B36" t="n">
        <v>0.0358305541369181</v>
      </c>
    </row>
    <row r="37">
      <c r="A37" s="36" t="n">
        <v>44138</v>
      </c>
      <c r="B37" t="n">
        <v>0.02882448106611096</v>
      </c>
    </row>
    <row r="38">
      <c r="A38" s="36" t="n">
        <v>44139</v>
      </c>
      <c r="B38" t="n">
        <v>0.02792362032267015</v>
      </c>
    </row>
    <row r="39">
      <c r="A39" s="36" t="n">
        <v>44140</v>
      </c>
      <c r="B39" t="n">
        <v>0.0174146712641472</v>
      </c>
    </row>
    <row r="40">
      <c r="A40" s="36" t="n">
        <v>44141</v>
      </c>
      <c r="B40" t="n">
        <v>0.02201847440489452</v>
      </c>
    </row>
    <row r="41">
      <c r="A41" s="36" t="n">
        <v>44144</v>
      </c>
      <c r="B41" t="n">
        <v>0.0110091240000274</v>
      </c>
    </row>
    <row r="42">
      <c r="A42" s="36" t="n">
        <v>44145</v>
      </c>
      <c r="B42" t="n">
        <v>0.01301073831484206</v>
      </c>
    </row>
    <row r="43">
      <c r="A43" s="36" t="n">
        <v>44146</v>
      </c>
      <c r="B43" t="n">
        <v>0.01901562928434336</v>
      </c>
    </row>
    <row r="44">
      <c r="A44" s="36" t="n">
        <v>44147</v>
      </c>
      <c r="B44" t="n">
        <v>0.0287235099961955</v>
      </c>
    </row>
    <row r="45">
      <c r="A45" s="36" t="n">
        <v>44148</v>
      </c>
      <c r="B45" t="n">
        <v>0.03072504301451179</v>
      </c>
    </row>
    <row r="46">
      <c r="A46" s="36" t="n">
        <v>44151</v>
      </c>
      <c r="B46" t="n">
        <v>0.03012424382636708</v>
      </c>
    </row>
    <row r="47">
      <c r="A47" s="36" t="n">
        <v>44152</v>
      </c>
      <c r="B47" t="n">
        <v>0.02982389997463719</v>
      </c>
    </row>
    <row r="48">
      <c r="A48" s="36" t="n">
        <v>44153</v>
      </c>
      <c r="B48" t="n">
        <v>0.02241788824644325</v>
      </c>
    </row>
    <row r="49">
      <c r="A49" s="36" t="n">
        <v>44154</v>
      </c>
      <c r="B49" t="n">
        <v>0.02542019686874503</v>
      </c>
    </row>
    <row r="50">
      <c r="A50" s="36" t="n">
        <v>44155</v>
      </c>
      <c r="B50" t="n">
        <v>0.02301820961102791</v>
      </c>
    </row>
    <row r="51">
      <c r="A51" s="36" t="n">
        <v>44159</v>
      </c>
      <c r="B51" t="n">
        <v>0.02672077265545481</v>
      </c>
    </row>
    <row r="52">
      <c r="A52" s="36" t="n">
        <v>44160</v>
      </c>
      <c r="B52" t="n">
        <v>0.02802168801880917</v>
      </c>
    </row>
    <row r="53">
      <c r="A53" s="36" t="n">
        <v>44161</v>
      </c>
      <c r="B53" t="n">
        <v>0.03292537057664291</v>
      </c>
    </row>
    <row r="54">
      <c r="A54" s="36" t="n">
        <v>44162</v>
      </c>
      <c r="B54" t="n">
        <v>0.02782134239964906</v>
      </c>
    </row>
    <row r="55">
      <c r="A55" s="36" t="n">
        <v>44165</v>
      </c>
      <c r="B55" t="n">
        <v>0.0262198444713293</v>
      </c>
    </row>
    <row r="56">
      <c r="A56" s="36" t="n">
        <v>44166</v>
      </c>
      <c r="B56" t="n">
        <v>0.03122352457330863</v>
      </c>
    </row>
    <row r="57">
      <c r="A57" s="36" t="n">
        <v>44167</v>
      </c>
      <c r="B57" t="n">
        <v>0.03052289216912679</v>
      </c>
    </row>
    <row r="58">
      <c r="A58" s="36" t="n">
        <v>44168</v>
      </c>
      <c r="B58" t="n">
        <v>0.03162360940702308</v>
      </c>
    </row>
    <row r="59">
      <c r="A59" s="36" t="n">
        <v>44169</v>
      </c>
      <c r="B59" t="n">
        <v>0.03302454221116385</v>
      </c>
    </row>
    <row r="60">
      <c r="A60" s="36" t="n">
        <v>44174</v>
      </c>
      <c r="B60" t="n">
        <v>0.04223066061661201</v>
      </c>
    </row>
    <row r="61">
      <c r="A61" s="36" t="n">
        <v>44175</v>
      </c>
      <c r="B61" t="n">
        <v>0.0416300820113164</v>
      </c>
    </row>
    <row r="62">
      <c r="A62" s="36" t="n">
        <v>44176</v>
      </c>
      <c r="B62" t="n">
        <v>0.04253058706604063</v>
      </c>
    </row>
    <row r="63">
      <c r="A63" s="36" t="n">
        <v>44179</v>
      </c>
      <c r="B63" t="n">
        <v>0.04733355495162667</v>
      </c>
    </row>
    <row r="64">
      <c r="A64" s="36" t="n">
        <v>44180</v>
      </c>
      <c r="B64" t="n">
        <v>0.04933480469098062</v>
      </c>
    </row>
    <row r="65">
      <c r="A65" s="36" t="n">
        <v>44181</v>
      </c>
      <c r="B65" t="n">
        <v>0.04683287924741686</v>
      </c>
    </row>
    <row r="66">
      <c r="A66" s="36" t="n">
        <v>44182</v>
      </c>
      <c r="B66" t="n">
        <v>0.03992789483063508</v>
      </c>
    </row>
    <row r="67">
      <c r="A67" s="36" t="n">
        <v>44183</v>
      </c>
      <c r="B67" t="n">
        <v>0.04042810584070433</v>
      </c>
    </row>
    <row r="68">
      <c r="A68" s="36" t="n">
        <v>44186</v>
      </c>
      <c r="B68" t="n">
        <v>0.03742563399588761</v>
      </c>
    </row>
    <row r="69">
      <c r="A69" s="36" t="n">
        <v>44187</v>
      </c>
      <c r="B69" t="n">
        <v>0.04212871100510279</v>
      </c>
    </row>
    <row r="70">
      <c r="A70" s="36" t="n">
        <v>44188</v>
      </c>
      <c r="B70" t="n">
        <v>0.04322931302732674</v>
      </c>
    </row>
    <row r="71">
      <c r="A71" s="36" t="n">
        <v>44193</v>
      </c>
      <c r="B71" t="n">
        <v>0.04152744793647856</v>
      </c>
    </row>
    <row r="72">
      <c r="A72" s="36" t="n">
        <v>44194</v>
      </c>
      <c r="B72" t="n">
        <v>0.04332848996600502</v>
      </c>
    </row>
    <row r="73">
      <c r="A73" s="36" t="n">
        <v>44195</v>
      </c>
      <c r="B73" t="n">
        <v>0.04442906147514297</v>
      </c>
    </row>
    <row r="74">
      <c r="A74" s="36" t="n">
        <v>44200</v>
      </c>
      <c r="B74" t="n">
        <v>0.04452836395786353</v>
      </c>
    </row>
    <row r="75">
      <c r="A75" s="36" t="n">
        <v>44201</v>
      </c>
      <c r="B75" t="n">
        <v>0.04612922570806849</v>
      </c>
    </row>
    <row r="76">
      <c r="A76" s="36" t="n">
        <v>44202</v>
      </c>
      <c r="B76" t="n">
        <v>0.04352742824245415</v>
      </c>
    </row>
    <row r="77">
      <c r="A77" s="36" t="n">
        <v>44203</v>
      </c>
      <c r="B77" t="n">
        <v>0.04442784347724771</v>
      </c>
    </row>
    <row r="78">
      <c r="A78" s="36" t="n">
        <v>44204</v>
      </c>
      <c r="B78" t="n">
        <v>0.04502806543804699</v>
      </c>
    </row>
    <row r="79">
      <c r="A79" s="36" t="n">
        <v>44207</v>
      </c>
      <c r="B79" t="n">
        <v>0.0404247809444831</v>
      </c>
    </row>
    <row r="80">
      <c r="A80" s="36" t="n">
        <v>44208</v>
      </c>
      <c r="B80" t="n">
        <v>0.04242586234074197</v>
      </c>
    </row>
    <row r="81">
      <c r="A81" s="36" t="n">
        <v>44209</v>
      </c>
      <c r="B81" t="n">
        <v>0.04582777916750902</v>
      </c>
    </row>
    <row r="82">
      <c r="A82" s="36" t="n">
        <v>44210</v>
      </c>
      <c r="B82" t="n">
        <v>0.04362629530127748</v>
      </c>
    </row>
    <row r="83">
      <c r="A83" s="36" t="n">
        <v>44211</v>
      </c>
      <c r="B83" t="n">
        <v>0.04442662554613208</v>
      </c>
    </row>
    <row r="84">
      <c r="A84" s="36" t="n">
        <v>44214</v>
      </c>
      <c r="B84" t="n">
        <v>0.04552681716627599</v>
      </c>
    </row>
    <row r="85">
      <c r="A85" s="36" t="n">
        <v>44215</v>
      </c>
      <c r="B85" t="n">
        <v>0.04392572362582198</v>
      </c>
    </row>
    <row r="86">
      <c r="A86" s="36" t="n">
        <v>44216</v>
      </c>
      <c r="B86" t="n">
        <v>0.04642702943494498</v>
      </c>
    </row>
    <row r="87">
      <c r="A87" s="36" t="n">
        <v>44217</v>
      </c>
      <c r="B87" t="n">
        <v>0.04992889720420374</v>
      </c>
    </row>
    <row r="88">
      <c r="A88" s="36" t="n">
        <v>44218</v>
      </c>
      <c r="B88" t="n">
        <v>0.04652676882589979</v>
      </c>
    </row>
    <row r="89">
      <c r="A89" s="36" t="n">
        <v>44221</v>
      </c>
      <c r="B89" t="n">
        <v>0.04392482053215002</v>
      </c>
    </row>
    <row r="90">
      <c r="A90" s="36" t="n">
        <v>44222</v>
      </c>
      <c r="B90" t="n">
        <v>0.04532545676338767</v>
      </c>
    </row>
    <row r="91">
      <c r="A91" s="36" t="n">
        <v>44223</v>
      </c>
      <c r="B91" t="n">
        <v>0.04432474292156235</v>
      </c>
    </row>
    <row r="92">
      <c r="A92" s="36" t="n">
        <v>44224</v>
      </c>
      <c r="B92" t="n">
        <v>0.04372425797874163</v>
      </c>
    </row>
    <row r="93">
      <c r="A93" s="36" t="n">
        <v>44225</v>
      </c>
      <c r="B93" t="n">
        <v>0.04512488049917929</v>
      </c>
    </row>
    <row r="94">
      <c r="A94" s="36" t="n">
        <v>44228</v>
      </c>
      <c r="B94" t="n">
        <v>0.04292322558096506</v>
      </c>
    </row>
    <row r="95">
      <c r="A95" s="36" t="n">
        <v>44229</v>
      </c>
      <c r="B95" t="n">
        <v>0.04172243295196393</v>
      </c>
    </row>
    <row r="96">
      <c r="A96" s="36" t="n">
        <v>44230</v>
      </c>
      <c r="B96" t="n">
        <v>0.03882073984731577</v>
      </c>
    </row>
    <row r="97">
      <c r="A97" s="36" t="n">
        <v>44231</v>
      </c>
      <c r="B97" t="n">
        <v>0.03541880107591355</v>
      </c>
    </row>
    <row r="98">
      <c r="A98" s="36" t="n">
        <v>44232</v>
      </c>
      <c r="B98" t="n">
        <v>0.03511852141197752</v>
      </c>
    </row>
    <row r="99">
      <c r="A99" s="36" t="n">
        <v>44235</v>
      </c>
      <c r="B99" t="n">
        <v>0.03541831563582537</v>
      </c>
    </row>
    <row r="100">
      <c r="A100" s="36" t="n">
        <v>44236</v>
      </c>
      <c r="B100" t="n">
        <v>0.03711906801439097</v>
      </c>
    </row>
    <row r="101">
      <c r="A101" s="36" t="n">
        <v>44237</v>
      </c>
      <c r="B101" t="n">
        <v>0.03561817502766829</v>
      </c>
    </row>
    <row r="102">
      <c r="A102" s="36" t="n">
        <v>44238</v>
      </c>
      <c r="B102" t="n">
        <v>0.03211627811356443</v>
      </c>
    </row>
    <row r="103">
      <c r="A103" s="36" t="n">
        <v>44239</v>
      </c>
      <c r="B103" t="n">
        <v>0.02901460666842565</v>
      </c>
    </row>
    <row r="104">
      <c r="A104" s="36" t="n">
        <v>44244</v>
      </c>
      <c r="B104" t="n">
        <v>0.03241576383035588</v>
      </c>
    </row>
    <row r="105">
      <c r="A105" s="36" t="n">
        <v>44245</v>
      </c>
      <c r="B105" t="n">
        <v>0.03741806831380906</v>
      </c>
    </row>
    <row r="106">
      <c r="A106" s="36" t="n">
        <v>44246</v>
      </c>
      <c r="B106" t="n">
        <v>0.03691770026725139</v>
      </c>
    </row>
    <row r="107">
      <c r="A107" s="36" t="n">
        <v>44249</v>
      </c>
      <c r="B107" t="n">
        <v>0.04101924533085727</v>
      </c>
    </row>
    <row r="108">
      <c r="A108" s="36" t="n">
        <v>44250</v>
      </c>
      <c r="B108" t="n">
        <v>0.03641696132445249</v>
      </c>
    </row>
    <row r="109">
      <c r="A109" s="36" t="n">
        <v>44251</v>
      </c>
      <c r="B109" t="n">
        <v>0.03581655902557684</v>
      </c>
    </row>
    <row r="110">
      <c r="A110" s="36" t="n">
        <v>44252</v>
      </c>
      <c r="B110" t="n">
        <v>0.03571639039833346</v>
      </c>
    </row>
    <row r="111">
      <c r="A111" s="36" t="n">
        <v>44253</v>
      </c>
      <c r="B111" t="n">
        <v>0.0378172249689071</v>
      </c>
    </row>
    <row r="112">
      <c r="A112" s="36" t="n">
        <v>44256</v>
      </c>
      <c r="B112" t="n">
        <v>0.03771679172234216</v>
      </c>
    </row>
    <row r="113">
      <c r="A113" s="36" t="n">
        <v>44257</v>
      </c>
      <c r="B113" t="n">
        <v>0.04081803262400169</v>
      </c>
    </row>
    <row r="114">
      <c r="A114" s="36" t="n">
        <v>44258</v>
      </c>
      <c r="B114" t="n">
        <v>0.04371916456528885</v>
      </c>
    </row>
    <row r="115">
      <c r="A115" s="36" t="n">
        <v>44259</v>
      </c>
      <c r="B115" t="n">
        <v>0.0382166216128248</v>
      </c>
    </row>
    <row r="116">
      <c r="A116" s="36" t="n">
        <v>44260</v>
      </c>
      <c r="B116" t="n">
        <v>0.04101769941824213</v>
      </c>
    </row>
    <row r="117">
      <c r="A117" s="36" t="n">
        <v>44263</v>
      </c>
      <c r="B117" t="n">
        <v>0.04051706712073927</v>
      </c>
    </row>
    <row r="118">
      <c r="A118" s="36" t="n">
        <v>44264</v>
      </c>
      <c r="B118" t="n">
        <v>0.04621931080794028</v>
      </c>
    </row>
    <row r="119">
      <c r="A119" s="36" t="n">
        <v>44265</v>
      </c>
      <c r="B119" t="n">
        <v>0.03711538000335751</v>
      </c>
    </row>
    <row r="120">
      <c r="A120" s="36" t="n">
        <v>44266</v>
      </c>
      <c r="B120" t="n">
        <v>0.0325133616554748</v>
      </c>
    </row>
    <row r="121">
      <c r="A121" s="36" t="n">
        <v>44267</v>
      </c>
      <c r="B121" t="n">
        <v>0.0389158595454997</v>
      </c>
    </row>
    <row r="122">
      <c r="A122" s="36" t="n">
        <v>44270</v>
      </c>
      <c r="B122" t="n">
        <v>0.04011593646791195</v>
      </c>
    </row>
    <row r="123">
      <c r="A123" s="36" t="n">
        <v>44271</v>
      </c>
      <c r="B123" t="n">
        <v>0.0411161930212241</v>
      </c>
    </row>
    <row r="124">
      <c r="A124" s="36" t="n">
        <v>44272</v>
      </c>
      <c r="B124" t="n">
        <v>0.04141616932638081</v>
      </c>
    </row>
    <row r="125">
      <c r="A125" s="36" t="n">
        <v>44273</v>
      </c>
      <c r="B125" t="n">
        <v>0.04221633714416878</v>
      </c>
    </row>
    <row r="126">
      <c r="A126" s="36" t="n">
        <v>44274</v>
      </c>
      <c r="B126" t="n">
        <v>0.0376144274516253</v>
      </c>
    </row>
    <row r="127">
      <c r="A127" s="36" t="n">
        <v>44277</v>
      </c>
      <c r="B127" t="n">
        <v>0.03661366743065048</v>
      </c>
    </row>
    <row r="128">
      <c r="A128" s="36" t="n">
        <v>44278</v>
      </c>
      <c r="B128" t="n">
        <v>0.03261206199553257</v>
      </c>
    </row>
    <row r="129">
      <c r="A129" s="36" t="n">
        <v>44280</v>
      </c>
      <c r="B129" t="n">
        <v>0.0382138721590714</v>
      </c>
    </row>
    <row r="130">
      <c r="A130" s="36" t="n">
        <v>44281</v>
      </c>
      <c r="B130" t="n">
        <v>0.04121482039774577</v>
      </c>
    </row>
    <row r="131">
      <c r="A131" s="36" t="n">
        <v>44284</v>
      </c>
      <c r="B131" t="n">
        <v>0.03861348827330097</v>
      </c>
    </row>
    <row r="132">
      <c r="A132" s="36" t="n">
        <v>44285</v>
      </c>
      <c r="B132" t="n">
        <v>0.03601245636333111</v>
      </c>
    </row>
    <row r="133">
      <c r="A133" s="36" t="n">
        <v>44286</v>
      </c>
      <c r="B133" t="n">
        <v>0.03561219595751969</v>
      </c>
    </row>
    <row r="134">
      <c r="A134" s="36" t="n">
        <v>44291</v>
      </c>
      <c r="B134" t="n">
        <v>0.04251383155478666</v>
      </c>
    </row>
    <row r="135">
      <c r="A135" s="36" t="n">
        <v>44292</v>
      </c>
      <c r="B135" t="n">
        <v>0.04131329948682111</v>
      </c>
    </row>
    <row r="136">
      <c r="A136" s="36" t="n">
        <v>44293</v>
      </c>
      <c r="B136" t="n">
        <v>0.04211341283353948</v>
      </c>
    </row>
    <row r="137">
      <c r="A137" s="36" t="n">
        <v>44294</v>
      </c>
      <c r="B137" t="n">
        <v>0.03991257519492447</v>
      </c>
    </row>
    <row r="138">
      <c r="A138" s="36" t="n">
        <v>44295</v>
      </c>
      <c r="B138" t="n">
        <v>0.03991243846541215</v>
      </c>
    </row>
    <row r="139">
      <c r="A139" s="36" t="n">
        <v>44298</v>
      </c>
      <c r="B139" t="n">
        <v>0.04051220915892456</v>
      </c>
    </row>
    <row r="140">
      <c r="A140" s="36" t="n">
        <v>44299</v>
      </c>
      <c r="B140" t="n">
        <v>0.03971183194993028</v>
      </c>
    </row>
    <row r="141">
      <c r="A141" s="36" t="n">
        <v>44300</v>
      </c>
      <c r="B141" t="n">
        <v>0.03851134238166037</v>
      </c>
    </row>
    <row r="142">
      <c r="A142" s="36" t="n">
        <v>44301</v>
      </c>
      <c r="B142" t="n">
        <v>0.03471010396862101</v>
      </c>
    </row>
    <row r="143">
      <c r="A143" s="36" t="n">
        <v>44302</v>
      </c>
      <c r="B143" t="n">
        <v>0.03200920812836572</v>
      </c>
    </row>
    <row r="144">
      <c r="A144" s="36" t="n">
        <v>44305</v>
      </c>
      <c r="B144" t="n">
        <v>0.03570990583004185</v>
      </c>
    </row>
    <row r="145">
      <c r="A145" s="36" t="n">
        <v>44306</v>
      </c>
      <c r="B145" t="n">
        <v>0.03400931762126608</v>
      </c>
    </row>
    <row r="146">
      <c r="A146" s="36" t="n">
        <v>44307</v>
      </c>
      <c r="B146" t="n">
        <v>0.03400920111948097</v>
      </c>
    </row>
    <row r="147">
      <c r="A147" s="36" t="n">
        <v>44308</v>
      </c>
      <c r="B147" t="n">
        <v>0.03210857694863695</v>
      </c>
    </row>
    <row r="148">
      <c r="A148" s="36" t="n">
        <v>44309</v>
      </c>
      <c r="B148" t="n">
        <v>0.02720717449464416</v>
      </c>
    </row>
    <row r="149">
      <c r="A149" s="36" t="n">
        <v>44312</v>
      </c>
      <c r="B149" t="n">
        <v>0.03370854257585826</v>
      </c>
    </row>
    <row r="150">
      <c r="A150" s="36" t="n">
        <v>44313</v>
      </c>
      <c r="B150" t="n">
        <v>0.03200800200050014</v>
      </c>
    </row>
    <row r="151">
      <c r="A151" s="36" t="n">
        <v>44314</v>
      </c>
      <c r="B151" t="n">
        <v>0.03150776903894109</v>
      </c>
    </row>
    <row r="152">
      <c r="A152" s="36" t="n">
        <v>44315</v>
      </c>
      <c r="B152" t="n">
        <v>0.03480846370179053</v>
      </c>
    </row>
    <row r="153">
      <c r="A153" s="36" t="n">
        <v>44316</v>
      </c>
      <c r="B153" t="n">
        <v>0.03160757715890794</v>
      </c>
    </row>
    <row r="154">
      <c r="A154" s="36" t="n">
        <v>44319</v>
      </c>
      <c r="B154" t="n">
        <v>0.03180729824994089</v>
      </c>
    </row>
    <row r="155">
      <c r="A155" s="36" t="n">
        <v>44320</v>
      </c>
      <c r="B155" t="n">
        <v>0.03110703104126278</v>
      </c>
    </row>
    <row r="156">
      <c r="A156" s="36" t="n">
        <v>44321</v>
      </c>
      <c r="B156" t="n">
        <v>0.03240721393460871</v>
      </c>
    </row>
    <row r="157">
      <c r="A157" s="36" t="n">
        <v>44322</v>
      </c>
      <c r="B157" t="n">
        <v>0.0321070371588294</v>
      </c>
    </row>
    <row r="158">
      <c r="A158" s="36" t="n">
        <v>44323</v>
      </c>
      <c r="B158" t="n">
        <v>0.02950636609953511</v>
      </c>
    </row>
    <row r="159">
      <c r="A159" s="36" t="n">
        <v>44326</v>
      </c>
      <c r="B159" t="n">
        <v>0.03000616565047609</v>
      </c>
    </row>
    <row r="160">
      <c r="A160" s="36" t="n">
        <v>44327</v>
      </c>
      <c r="B160" t="n">
        <v>0.02810567888717241</v>
      </c>
    </row>
    <row r="161">
      <c r="A161" s="36" t="n">
        <v>44328</v>
      </c>
      <c r="B161" t="n">
        <v>0.02790554288180525</v>
      </c>
    </row>
    <row r="162">
      <c r="A162" s="36" t="n">
        <v>44329</v>
      </c>
      <c r="B162" t="n">
        <v>0.03020589635648052</v>
      </c>
    </row>
    <row r="163">
      <c r="A163" s="36" t="n">
        <v>44330</v>
      </c>
      <c r="B163" t="n">
        <v>0.0264050639848738</v>
      </c>
    </row>
    <row r="164">
      <c r="A164" s="36" t="n">
        <v>44333</v>
      </c>
      <c r="B164" t="n">
        <v>0.02800508311440097</v>
      </c>
    </row>
    <row r="165">
      <c r="A165" s="36" t="n">
        <v>44334</v>
      </c>
      <c r="B165" t="n">
        <v>0.02800498718949956</v>
      </c>
    </row>
    <row r="166">
      <c r="A166" s="36" t="n">
        <v>44335</v>
      </c>
      <c r="B166" t="n">
        <v>0.02170379073057283</v>
      </c>
    </row>
    <row r="167">
      <c r="A167" s="36" t="n">
        <v>44336</v>
      </c>
      <c r="B167" t="n">
        <v>0.01980339099160822</v>
      </c>
    </row>
    <row r="168">
      <c r="A168" s="36" t="n">
        <v>44337</v>
      </c>
      <c r="B168" t="n">
        <v>0.02150360848224531</v>
      </c>
    </row>
    <row r="169">
      <c r="A169" s="36" t="n">
        <v>44342</v>
      </c>
      <c r="B169" t="n">
        <v>0.02000301415281752</v>
      </c>
    </row>
    <row r="170">
      <c r="A170" s="36" t="n">
        <v>44343</v>
      </c>
      <c r="B170" t="n">
        <v>0.01860273944450724</v>
      </c>
    </row>
    <row r="171">
      <c r="A171" s="36" t="n">
        <v>44344</v>
      </c>
      <c r="B171" t="n">
        <v>0.01850266134169981</v>
      </c>
    </row>
    <row r="172">
      <c r="A172" s="36" t="n">
        <v>44347</v>
      </c>
      <c r="B172" t="n">
        <v>0.01900253801021368</v>
      </c>
    </row>
    <row r="173">
      <c r="A173" s="36" t="n">
        <v>44348</v>
      </c>
      <c r="B173" t="n">
        <v>0.01890245990916628</v>
      </c>
    </row>
    <row r="174">
      <c r="A174" s="36" t="n">
        <v>44349</v>
      </c>
      <c r="B174" t="n">
        <v>0.02100266129612305</v>
      </c>
    </row>
    <row r="175">
      <c r="A175" s="36" t="n">
        <v>44350</v>
      </c>
      <c r="B175" t="n">
        <v>0.02780342781986817</v>
      </c>
    </row>
    <row r="176">
      <c r="A176" s="36" t="n">
        <v>44351</v>
      </c>
      <c r="B176" t="n">
        <v>0.02310276916753723</v>
      </c>
    </row>
    <row r="177">
      <c r="A177" s="36" t="n">
        <v>44354</v>
      </c>
      <c r="B177" t="n">
        <v>0.02700295922840862</v>
      </c>
    </row>
    <row r="178">
      <c r="A178" s="36" t="n">
        <v>44355</v>
      </c>
      <c r="B178" t="n">
        <v>0.02930311094671012</v>
      </c>
    </row>
    <row r="179">
      <c r="A179" s="36" t="n">
        <v>44356</v>
      </c>
      <c r="B179" t="n">
        <v>0.02910299003322259</v>
      </c>
    </row>
    <row r="180">
      <c r="A180" s="36" t="n">
        <v>44357</v>
      </c>
      <c r="B180" t="n">
        <v>0.02920290028804229</v>
      </c>
    </row>
    <row r="181">
      <c r="A181" s="36" t="n">
        <v>44358</v>
      </c>
      <c r="B181" t="n">
        <v>0.03150302083761453</v>
      </c>
    </row>
    <row r="182">
      <c r="A182" s="36" t="n">
        <v>44361</v>
      </c>
      <c r="B182" t="n">
        <v>0.03210274852298994</v>
      </c>
    </row>
    <row r="183">
      <c r="A183" s="36" t="n">
        <v>44362</v>
      </c>
      <c r="B183" t="n">
        <v>0.03330273721127769</v>
      </c>
    </row>
    <row r="184">
      <c r="A184" s="36" t="n">
        <v>44363</v>
      </c>
      <c r="B184" t="n">
        <v>0.03520277282114692</v>
      </c>
    </row>
    <row r="185">
      <c r="A185" s="36" t="n">
        <v>44364</v>
      </c>
      <c r="B185" t="n">
        <v>0.03390255430203643</v>
      </c>
    </row>
    <row r="186">
      <c r="A186" s="36" t="n">
        <v>44365</v>
      </c>
      <c r="B186" t="n">
        <v>0.03490251011202855</v>
      </c>
    </row>
    <row r="187">
      <c r="A187" s="36" t="n">
        <v>44369</v>
      </c>
      <c r="B187" t="n">
        <v>0.03300192134473579</v>
      </c>
    </row>
    <row r="188">
      <c r="A188" s="36" t="n">
        <v>44370</v>
      </c>
      <c r="B188" t="n">
        <v>0.03240177543975015</v>
      </c>
    </row>
    <row r="189">
      <c r="A189" s="36" t="n">
        <v>44371</v>
      </c>
      <c r="B189" t="n">
        <v>0.03050156686131134</v>
      </c>
    </row>
    <row r="190">
      <c r="A190" s="36" t="n">
        <v>44372</v>
      </c>
      <c r="B190" t="n">
        <v>0.02930140486187693</v>
      </c>
    </row>
    <row r="191">
      <c r="A191" s="36" t="n">
        <v>44375</v>
      </c>
      <c r="B191" t="n">
        <v>0.02850107367058352</v>
      </c>
    </row>
    <row r="192">
      <c r="A192" s="36" t="n">
        <v>44376</v>
      </c>
      <c r="B192" t="n">
        <v>0.02750094181307583</v>
      </c>
    </row>
    <row r="193">
      <c r="A193" s="36" t="n">
        <v>44377</v>
      </c>
      <c r="B193" t="n">
        <v>0.02630081064142387</v>
      </c>
    </row>
    <row r="194">
      <c r="A194" s="36" t="n">
        <v>44378</v>
      </c>
      <c r="B194" t="n">
        <v>0.02450067125126709</v>
      </c>
    </row>
    <row r="195">
      <c r="A195" s="36" t="n">
        <v>44379</v>
      </c>
      <c r="B195" t="n">
        <v>0.02310055378039888</v>
      </c>
    </row>
    <row r="196">
      <c r="A196" s="36" t="n">
        <v>44382</v>
      </c>
      <c r="B196" t="n">
        <v>0.0230003150728092</v>
      </c>
    </row>
    <row r="197">
      <c r="A197" s="36" t="n">
        <v>44383</v>
      </c>
      <c r="B197" t="n">
        <v>0.02690027637270254</v>
      </c>
    </row>
    <row r="198">
      <c r="A198" s="36" t="n">
        <v>44384</v>
      </c>
      <c r="B198" t="n">
        <v>0.02500017123404952</v>
      </c>
    </row>
    <row r="199">
      <c r="A199" s="36" t="n">
        <v>44385</v>
      </c>
      <c r="B199" t="n">
        <v>0.02360008082219456</v>
      </c>
    </row>
    <row r="200">
      <c r="A200" s="36" t="n">
        <v>44389</v>
      </c>
      <c r="B200" t="n">
        <v>0.02389975445457754</v>
      </c>
    </row>
    <row r="201">
      <c r="A201" s="36" t="n">
        <v>44390</v>
      </c>
      <c r="B201" t="n">
        <v>0.0199997260311503</v>
      </c>
    </row>
    <row r="202">
      <c r="A202" s="36" t="n">
        <v>44391</v>
      </c>
      <c r="B202" t="n">
        <v>0.02489957363743778</v>
      </c>
    </row>
    <row r="203">
      <c r="A203" s="36" t="n">
        <v>44392</v>
      </c>
      <c r="B203" t="n">
        <v>0.02569947192865901</v>
      </c>
    </row>
    <row r="204">
      <c r="A204" s="36" t="n">
        <v>44393</v>
      </c>
      <c r="B204" t="n">
        <v>0.02919930001678045</v>
      </c>
    </row>
    <row r="205">
      <c r="A205" s="36" t="n">
        <v>44396</v>
      </c>
      <c r="B205" t="n">
        <v>0.02899900688332596</v>
      </c>
    </row>
    <row r="206">
      <c r="A206" s="36" t="n">
        <v>44397</v>
      </c>
      <c r="B206" t="n">
        <v>0.03069884353671609</v>
      </c>
    </row>
    <row r="207">
      <c r="A207" s="36" t="n">
        <v>44398</v>
      </c>
      <c r="B207" t="n">
        <v>0.03059874251743083</v>
      </c>
    </row>
    <row r="208">
      <c r="A208" s="36" t="n">
        <v>44399</v>
      </c>
      <c r="B208" t="n">
        <v>0.02999866444302141</v>
      </c>
    </row>
    <row r="209">
      <c r="A209" s="36" t="n">
        <v>44400</v>
      </c>
      <c r="B209" t="n">
        <v>0.02939859047853866</v>
      </c>
    </row>
    <row r="210">
      <c r="A210" s="36" t="n">
        <v>44403</v>
      </c>
      <c r="B210" t="n">
        <v>0.02719841653054444</v>
      </c>
    </row>
    <row r="211">
      <c r="A211" s="36" t="n">
        <v>44404</v>
      </c>
      <c r="B211" t="n">
        <v>0.02669835421104172</v>
      </c>
    </row>
    <row r="212">
      <c r="A212" s="36" t="n">
        <v>44405</v>
      </c>
      <c r="B212" t="n">
        <v>0.02299850352203109</v>
      </c>
    </row>
    <row r="213">
      <c r="A213" s="36" t="n">
        <v>44406</v>
      </c>
      <c r="B213" t="n">
        <v>0.02409834942812134</v>
      </c>
    </row>
    <row r="214">
      <c r="A214" s="36" t="n">
        <v>44407</v>
      </c>
      <c r="B214" t="n">
        <v>0.02289835320062594</v>
      </c>
    </row>
    <row r="215">
      <c r="A215" s="36" t="n">
        <v>44410</v>
      </c>
      <c r="B215" t="n">
        <v>0.01889844670301072</v>
      </c>
    </row>
    <row r="216">
      <c r="A216" s="36" t="n">
        <v>44411</v>
      </c>
      <c r="B216" t="n">
        <v>0.01979830493964557</v>
      </c>
    </row>
    <row r="217">
      <c r="A217" s="36" t="n">
        <v>44412</v>
      </c>
      <c r="B217" t="n">
        <v>0.02169806798024826</v>
      </c>
    </row>
    <row r="218">
      <c r="A218" s="36" t="n">
        <v>44413</v>
      </c>
      <c r="B218" t="n">
        <v>0.02219794745006454</v>
      </c>
    </row>
    <row r="219">
      <c r="A219" s="36" t="n">
        <v>44421</v>
      </c>
      <c r="B219" t="n">
        <v>0.01869775883027713</v>
      </c>
    </row>
    <row r="220">
      <c r="A220" s="36" t="n">
        <v>44420</v>
      </c>
      <c r="B220" t="n">
        <v>0.01879781121376284</v>
      </c>
    </row>
    <row r="221">
      <c r="A221" s="36" t="n">
        <v>44419</v>
      </c>
      <c r="B221" t="n">
        <v>0.02499717497680054</v>
      </c>
    </row>
    <row r="222">
      <c r="A222" s="36" t="n">
        <v>44418</v>
      </c>
      <c r="B222" t="n">
        <v>0.02439732632040326</v>
      </c>
    </row>
    <row r="223">
      <c r="A223" s="36" t="n">
        <v>44417</v>
      </c>
      <c r="B223" t="n">
        <v>0.02399745232526679</v>
      </c>
    </row>
    <row r="224">
      <c r="A224" s="36" t="n">
        <v>44409</v>
      </c>
      <c r="B224" t="n">
        <v>0.02179828301195452</v>
      </c>
    </row>
    <row r="225">
      <c r="A225" s="36" t="inlineStr">
        <is>
          <t>Total general</t>
        </is>
      </c>
      <c r="B225" t="n">
        <v>7.954165812192137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3.xml><?xml version="1.0" encoding="utf-8"?>
<worksheet xmlns="http://schemas.openxmlformats.org/spreadsheetml/2006/main">
  <sheetPr codeName="Hoja5">
    <outlinePr summaryBelow="1" summaryRight="1"/>
    <pageSetUpPr/>
  </sheetPr>
  <dimension ref="A1:B205"/>
  <sheetViews>
    <sheetView topLeftCell="D1" workbookViewId="0">
      <selection activeCell="A1" sqref="A1"/>
    </sheetView>
  </sheetViews>
  <sheetFormatPr baseColWidth="10" defaultRowHeight="15"/>
  <cols>
    <col width="17.5703125" bestFit="1" customWidth="1" style="76" min="1" max="1"/>
    <col width="13.7109375" bestFit="1" customWidth="1" style="76" min="2" max="2"/>
    <col width="19.28515625" bestFit="1" customWidth="1" style="76" min="3" max="3"/>
  </cols>
  <sheetData>
    <row r="1">
      <c r="A1" s="35" t="inlineStr">
        <is>
          <t>Etiquetas de fila</t>
        </is>
      </c>
      <c r="B1" t="inlineStr">
        <is>
          <t>Suma de 29-30</t>
        </is>
      </c>
    </row>
    <row r="2">
      <c r="A2" s="36" t="n">
        <v>44088</v>
      </c>
      <c r="B2" s="25" t="n">
        <v>0.003034064310423523</v>
      </c>
    </row>
    <row r="3">
      <c r="A3" s="36" t="n">
        <v>44089</v>
      </c>
      <c r="B3" s="25" t="n">
        <v>0.006896646814772089</v>
      </c>
    </row>
    <row r="4">
      <c r="A4" s="36" t="n">
        <v>44090</v>
      </c>
      <c r="B4" s="25" t="n">
        <v>0.01240726013056409</v>
      </c>
    </row>
    <row r="5">
      <c r="A5" s="36" t="n">
        <v>44091</v>
      </c>
      <c r="B5" s="25" t="n">
        <v>0.01957831937810944</v>
      </c>
    </row>
    <row r="6">
      <c r="A6" s="36" t="n">
        <v>44092</v>
      </c>
      <c r="B6" s="25" t="n">
        <v>0.01595141323536348</v>
      </c>
    </row>
    <row r="7">
      <c r="A7" s="36" t="n">
        <v>44095</v>
      </c>
      <c r="B7" s="25" t="n">
        <v>0.01614930535580816</v>
      </c>
    </row>
    <row r="8">
      <c r="A8" s="36" t="n">
        <v>44096</v>
      </c>
      <c r="B8" s="25" t="n">
        <v>0.01437287011759952</v>
      </c>
    </row>
    <row r="9">
      <c r="A9" s="36" t="n">
        <v>44097</v>
      </c>
      <c r="B9" s="25" t="n">
        <v>0.01383778221673965</v>
      </c>
    </row>
    <row r="10">
      <c r="A10" s="36" t="n">
        <v>44098</v>
      </c>
      <c r="B10" s="25" t="n">
        <v>0.01902917389075409</v>
      </c>
    </row>
    <row r="11">
      <c r="A11" s="36" t="n">
        <v>44099</v>
      </c>
      <c r="B11" s="25" t="n">
        <v>0.01563582621223558</v>
      </c>
    </row>
    <row r="12">
      <c r="A12" s="36" t="n">
        <v>44102</v>
      </c>
      <c r="B12" s="25" t="n">
        <v>0.01709286296826851</v>
      </c>
    </row>
    <row r="13">
      <c r="A13" s="36" t="n">
        <v>44103</v>
      </c>
      <c r="B13" s="25" t="n">
        <v>0.01646109275341617</v>
      </c>
    </row>
    <row r="14">
      <c r="A14" s="36" t="n">
        <v>44104</v>
      </c>
      <c r="B14" s="25" t="n">
        <v>0.01573960142438419</v>
      </c>
    </row>
    <row r="15">
      <c r="A15" s="36" t="n">
        <v>44105</v>
      </c>
      <c r="B15" s="25" t="n">
        <v>0.01865766566457683</v>
      </c>
    </row>
    <row r="16">
      <c r="A16" s="36" t="n">
        <v>44106</v>
      </c>
      <c r="B16" s="25" t="n">
        <v>0.01458832618859585</v>
      </c>
    </row>
    <row r="17">
      <c r="A17" s="36" t="n">
        <v>44109</v>
      </c>
      <c r="B17" s="25" t="n">
        <v>0.01294941565557872</v>
      </c>
    </row>
    <row r="18">
      <c r="A18" s="36" t="n">
        <v>44110</v>
      </c>
      <c r="B18" s="25" t="n">
        <v>0.01153098251800078</v>
      </c>
    </row>
    <row r="19">
      <c r="A19" s="36" t="n">
        <v>44111</v>
      </c>
      <c r="B19" s="25" t="n">
        <v>0.009427235877876194</v>
      </c>
    </row>
    <row r="20">
      <c r="A20" s="36" t="n">
        <v>44112</v>
      </c>
      <c r="B20" s="25" t="n">
        <v>0.009207997196477802</v>
      </c>
    </row>
    <row r="21">
      <c r="A21" s="36" t="n">
        <v>44113</v>
      </c>
      <c r="B21" s="25" t="n">
        <v>0.01202000654985236</v>
      </c>
    </row>
    <row r="22">
      <c r="A22" s="36" t="n">
        <v>44117</v>
      </c>
      <c r="B22" s="25" t="n">
        <v>0.01006193250300519</v>
      </c>
    </row>
    <row r="23">
      <c r="A23" s="36" t="n">
        <v>44118</v>
      </c>
      <c r="B23" s="25" t="n">
        <v>0.007412812040590855</v>
      </c>
    </row>
    <row r="24">
      <c r="A24" s="36" t="n">
        <v>44119</v>
      </c>
      <c r="B24" s="25" t="n">
        <v>0.004477256516352224</v>
      </c>
    </row>
    <row r="25">
      <c r="A25" s="36" t="n">
        <v>44120</v>
      </c>
      <c r="B25" s="25" t="n">
        <v>0.003949219091999634</v>
      </c>
    </row>
    <row r="26">
      <c r="A26" s="36" t="n">
        <v>44123</v>
      </c>
      <c r="B26" s="25" t="n">
        <v>0.004367059085958969</v>
      </c>
    </row>
    <row r="27">
      <c r="A27" s="36" t="n">
        <v>44124</v>
      </c>
      <c r="B27" s="25" t="n">
        <v>0.005843281743628914</v>
      </c>
    </row>
    <row r="28">
      <c r="A28" s="36" t="n">
        <v>44125</v>
      </c>
      <c r="B28" s="25" t="n">
        <v>0.01140532196995525</v>
      </c>
    </row>
    <row r="29">
      <c r="A29" s="36" t="n">
        <v>44126</v>
      </c>
      <c r="B29" s="25" t="n">
        <v>0.0226630464226894</v>
      </c>
    </row>
    <row r="30">
      <c r="A30" s="36" t="n">
        <v>44127</v>
      </c>
      <c r="B30" s="25" t="n">
        <v>0.03786376523764601</v>
      </c>
    </row>
    <row r="31">
      <c r="A31" s="36" t="n">
        <v>44130</v>
      </c>
      <c r="B31" s="25" t="n">
        <v>0.02582938812809538</v>
      </c>
    </row>
    <row r="32">
      <c r="A32" s="36" t="n">
        <v>44131</v>
      </c>
      <c r="B32" s="25" t="n">
        <v>0.0404824420712524</v>
      </c>
    </row>
    <row r="33">
      <c r="A33" s="36" t="n">
        <v>44132</v>
      </c>
      <c r="B33" s="25" t="n">
        <v>0.05675958936719294</v>
      </c>
    </row>
    <row r="34">
      <c r="A34" s="36" t="n">
        <v>44133</v>
      </c>
      <c r="B34" s="25" t="n">
        <v>0.06993640979325089</v>
      </c>
    </row>
    <row r="35">
      <c r="A35" s="36" t="n">
        <v>44134</v>
      </c>
      <c r="B35" s="25" t="n">
        <v>0.07129283600770614</v>
      </c>
    </row>
    <row r="36">
      <c r="A36" s="36" t="n">
        <v>44137</v>
      </c>
      <c r="B36" s="25" t="n">
        <v>0.05337256215784553</v>
      </c>
    </row>
    <row r="37">
      <c r="A37" s="36" t="n">
        <v>44138</v>
      </c>
      <c r="B37" s="25" t="n">
        <v>0.06693852463293076</v>
      </c>
    </row>
    <row r="38">
      <c r="A38" s="36" t="n">
        <v>44139</v>
      </c>
      <c r="B38" s="25" t="n">
        <v>0.06783412767973107</v>
      </c>
    </row>
    <row r="39">
      <c r="A39" s="36" t="n">
        <v>44140</v>
      </c>
      <c r="B39" s="25" t="n">
        <v>0.07786706086058826</v>
      </c>
    </row>
    <row r="40">
      <c r="A40" s="36" t="n">
        <v>44141</v>
      </c>
      <c r="B40" s="25" t="n">
        <v>0.07684956303357365</v>
      </c>
    </row>
    <row r="41">
      <c r="A41" s="36" t="n">
        <v>44144</v>
      </c>
      <c r="B41" s="25" t="n">
        <v>0.07623209999971603</v>
      </c>
    </row>
    <row r="42">
      <c r="A42" s="36" t="n">
        <v>44145</v>
      </c>
      <c r="B42" s="25" t="n">
        <v>0.0701837581879568</v>
      </c>
    </row>
    <row r="43">
      <c r="A43" s="36" t="n">
        <v>44146</v>
      </c>
      <c r="B43" s="25" t="n">
        <v>0.05864279415143131</v>
      </c>
    </row>
    <row r="44">
      <c r="A44" s="36" t="n">
        <v>44147</v>
      </c>
      <c r="B44" s="25" t="n">
        <v>0.04787676160633852</v>
      </c>
    </row>
    <row r="45">
      <c r="A45" s="36" t="n">
        <v>44148</v>
      </c>
      <c r="B45" s="25" t="n">
        <v>0.05362802743128869</v>
      </c>
    </row>
    <row r="46">
      <c r="A46" s="36" t="n">
        <v>44151</v>
      </c>
      <c r="B46" s="25" t="n">
        <v>0.04999176349854945</v>
      </c>
    </row>
    <row r="47">
      <c r="A47" s="36" t="n">
        <v>44152</v>
      </c>
      <c r="B47" s="25" t="n">
        <v>0.04122000028708311</v>
      </c>
    </row>
    <row r="48">
      <c r="A48" s="36" t="n">
        <v>44153</v>
      </c>
      <c r="B48" s="25" t="n">
        <v>0.04007733272916492</v>
      </c>
    </row>
    <row r="49">
      <c r="A49" s="36" t="n">
        <v>44154</v>
      </c>
      <c r="B49" s="25" t="n">
        <v>0.03109232784540245</v>
      </c>
    </row>
    <row r="50">
      <c r="A50" s="36" t="n">
        <v>44155</v>
      </c>
      <c r="B50" s="25" t="n">
        <v>0.03387858234266916</v>
      </c>
    </row>
    <row r="51">
      <c r="A51" s="36" t="n">
        <v>44159</v>
      </c>
      <c r="B51" s="25" t="n">
        <v>0.04036682512233325</v>
      </c>
    </row>
    <row r="52">
      <c r="A52" s="36" t="n">
        <v>44160</v>
      </c>
      <c r="B52" s="25" t="n">
        <v>0.04429972000000199</v>
      </c>
    </row>
    <row r="53">
      <c r="A53" s="36" t="n">
        <v>44161</v>
      </c>
      <c r="B53" s="25" t="n">
        <v>0.04437878592027544</v>
      </c>
    </row>
    <row r="54">
      <c r="A54" s="36" t="n">
        <v>44162</v>
      </c>
      <c r="B54" s="25" t="n">
        <v>0.0419538620291397</v>
      </c>
    </row>
    <row r="55">
      <c r="A55" s="36" t="n">
        <v>44165</v>
      </c>
      <c r="B55" s="25" t="n">
        <v>0.03817824742275649</v>
      </c>
    </row>
    <row r="56">
      <c r="A56" s="36" t="n">
        <v>44166</v>
      </c>
      <c r="B56" s="25" t="n">
        <v>0.03604823184282796</v>
      </c>
    </row>
    <row r="57">
      <c r="A57" s="36" t="n">
        <v>44167</v>
      </c>
      <c r="B57" s="25" t="n">
        <v>0.03333063177664941</v>
      </c>
    </row>
    <row r="58">
      <c r="A58" s="36" t="n">
        <v>44168</v>
      </c>
      <c r="B58" s="25" t="n">
        <v>0.03182136191711071</v>
      </c>
    </row>
    <row r="59">
      <c r="A59" s="36" t="n">
        <v>44169</v>
      </c>
      <c r="B59" s="25" t="n">
        <v>0.03381049685310927</v>
      </c>
    </row>
    <row r="60">
      <c r="A60" s="36" t="n">
        <v>44174</v>
      </c>
      <c r="B60" s="25" t="n">
        <v>0.02795194897335412</v>
      </c>
    </row>
    <row r="61">
      <c r="A61" s="36" t="n">
        <v>44175</v>
      </c>
      <c r="B61" s="25" t="n">
        <v>0.02666217585847575</v>
      </c>
    </row>
    <row r="62">
      <c r="A62" s="36" t="n">
        <v>44176</v>
      </c>
      <c r="B62" s="25" t="n">
        <v>0.02283899350415375</v>
      </c>
    </row>
    <row r="63">
      <c r="A63" s="36" t="n">
        <v>44179</v>
      </c>
      <c r="B63" s="25" t="n">
        <v>0.01981510299670447</v>
      </c>
    </row>
    <row r="64">
      <c r="A64" s="36" t="n">
        <v>44180</v>
      </c>
      <c r="B64" s="25" t="n">
        <v>0.01928707263332291</v>
      </c>
    </row>
    <row r="65">
      <c r="A65" s="36" t="n">
        <v>44181</v>
      </c>
      <c r="B65" s="25" t="n">
        <v>0.01976733725244645</v>
      </c>
    </row>
    <row r="66">
      <c r="A66" s="36" t="n">
        <v>44182</v>
      </c>
      <c r="B66" s="25" t="n">
        <v>0.01935789391109449</v>
      </c>
    </row>
    <row r="67">
      <c r="A67" s="36" t="n">
        <v>44183</v>
      </c>
      <c r="B67" s="25" t="n">
        <v>0.01735516642065033</v>
      </c>
    </row>
    <row r="68">
      <c r="A68" s="36" t="n">
        <v>44186</v>
      </c>
      <c r="B68" s="25" t="n">
        <v>0.01674638748378549</v>
      </c>
    </row>
    <row r="69">
      <c r="A69" s="36" t="n">
        <v>44187</v>
      </c>
      <c r="B69" s="25" t="n">
        <v>0.01794123109380336</v>
      </c>
    </row>
    <row r="70">
      <c r="A70" s="36" t="n">
        <v>44188</v>
      </c>
      <c r="B70" s="25" t="n">
        <v>0.01852988545638118</v>
      </c>
    </row>
    <row r="71">
      <c r="A71" s="36" t="n">
        <v>44193</v>
      </c>
      <c r="B71" s="25" t="n">
        <v>0.01537487419900219</v>
      </c>
    </row>
    <row r="72">
      <c r="A72" s="36" t="n">
        <v>44194</v>
      </c>
      <c r="B72" s="25" t="n">
        <v>0.01617020059992152</v>
      </c>
    </row>
    <row r="73">
      <c r="A73" s="36" t="n">
        <v>44195</v>
      </c>
      <c r="B73" s="25" t="n">
        <v>0.01605981324491323</v>
      </c>
    </row>
    <row r="74">
      <c r="A74" s="36" t="n">
        <v>44200</v>
      </c>
      <c r="B74" s="25" t="n">
        <v>0.009959993109689758</v>
      </c>
    </row>
    <row r="75">
      <c r="A75" s="36" t="n">
        <v>44201</v>
      </c>
      <c r="B75" s="25" t="n">
        <v>0.01184623415064329</v>
      </c>
    </row>
    <row r="76">
      <c r="A76" s="36" t="n">
        <v>44202</v>
      </c>
      <c r="B76" s="25" t="n">
        <v>0.01584981021933973</v>
      </c>
    </row>
    <row r="77">
      <c r="A77" s="36" t="n">
        <v>44203</v>
      </c>
      <c r="B77" s="25" t="n">
        <v>0.01862954406279849</v>
      </c>
    </row>
    <row r="78">
      <c r="A78" s="36" t="n">
        <v>44204</v>
      </c>
      <c r="B78" s="25" t="n">
        <v>0.01530075944667691</v>
      </c>
    </row>
    <row r="79">
      <c r="A79" s="36" t="n">
        <v>44207</v>
      </c>
      <c r="B79" s="25" t="n">
        <v>0.01906979176159429</v>
      </c>
    </row>
    <row r="80">
      <c r="A80" s="36" t="n">
        <v>44208</v>
      </c>
      <c r="B80" s="25" t="n">
        <v>0.02086867156402455</v>
      </c>
    </row>
    <row r="81">
      <c r="A81" s="36" t="n">
        <v>44209</v>
      </c>
      <c r="B81" s="25" t="n">
        <v>0.01733906592258772</v>
      </c>
    </row>
    <row r="82">
      <c r="A82" s="36" t="n">
        <v>44210</v>
      </c>
      <c r="B82" s="25" t="n">
        <v>0.016515554184172</v>
      </c>
    </row>
    <row r="83">
      <c r="A83" s="36" t="n">
        <v>44211</v>
      </c>
      <c r="B83" s="25" t="n">
        <v>0.01559888753341587</v>
      </c>
    </row>
    <row r="84">
      <c r="A84" s="36" t="n">
        <v>44214</v>
      </c>
      <c r="B84" s="25" t="n">
        <v>0.01466990797012302</v>
      </c>
    </row>
    <row r="85">
      <c r="A85" s="36" t="n">
        <v>44215</v>
      </c>
      <c r="B85" s="25" t="n">
        <v>0.01576491360410032</v>
      </c>
    </row>
    <row r="86">
      <c r="A86" s="36" t="n">
        <v>44216</v>
      </c>
      <c r="B86" s="25" t="n">
        <v>0.01394465507243275</v>
      </c>
    </row>
    <row r="87">
      <c r="A87" s="36" t="n">
        <v>44217</v>
      </c>
      <c r="B87" s="25" t="n">
        <v>0.0137319636009231</v>
      </c>
    </row>
    <row r="88">
      <c r="A88" s="36" t="n">
        <v>44218</v>
      </c>
      <c r="B88" s="25" t="n">
        <v>0.01472688101500907</v>
      </c>
    </row>
    <row r="89">
      <c r="A89" s="36" t="n">
        <v>44221</v>
      </c>
      <c r="B89" s="25" t="n">
        <v>0.01459325203529332</v>
      </c>
    </row>
    <row r="90">
      <c r="A90" s="36" t="n">
        <v>44222</v>
      </c>
      <c r="B90" s="25" t="n">
        <v>0.01428179797908496</v>
      </c>
    </row>
    <row r="91">
      <c r="A91" s="36" t="n">
        <v>44223</v>
      </c>
      <c r="B91" s="25" t="n">
        <v>0.01567249362968337</v>
      </c>
    </row>
    <row r="92">
      <c r="A92" s="36" t="n">
        <v>44224</v>
      </c>
      <c r="B92" s="25" t="n">
        <v>0.013346299687576</v>
      </c>
    </row>
    <row r="93">
      <c r="A93" s="36" t="n">
        <v>44225</v>
      </c>
      <c r="B93" s="25" t="n">
        <v>0.01564185492981174</v>
      </c>
    </row>
    <row r="94">
      <c r="A94" s="36" t="n">
        <v>44228</v>
      </c>
      <c r="B94" s="25" t="n">
        <v>0.01842325502792042</v>
      </c>
    </row>
    <row r="95">
      <c r="A95" s="36" t="n">
        <v>44229</v>
      </c>
      <c r="B95" s="25" t="n">
        <v>0.02031723710786659</v>
      </c>
    </row>
    <row r="96">
      <c r="A96" s="36" t="n">
        <v>44230</v>
      </c>
      <c r="B96" s="25" t="n">
        <v>0.01969781162399503</v>
      </c>
    </row>
    <row r="97">
      <c r="A97" s="36" t="n">
        <v>44231</v>
      </c>
      <c r="B97" s="25" t="n">
        <v>0.01988379041003357</v>
      </c>
    </row>
    <row r="98">
      <c r="A98" s="36" t="n">
        <v>44232</v>
      </c>
      <c r="B98" s="25" t="n">
        <v>0.02007427775905246</v>
      </c>
    </row>
    <row r="99">
      <c r="A99" s="36" t="n">
        <v>44235</v>
      </c>
      <c r="B99" s="25" t="n">
        <v>0.02044817739524601</v>
      </c>
    </row>
    <row r="100">
      <c r="A100" s="36" t="n">
        <v>44236</v>
      </c>
      <c r="B100" s="25" t="n">
        <v>0.02093590949355706</v>
      </c>
    </row>
    <row r="101">
      <c r="A101" s="36" t="n">
        <v>44237</v>
      </c>
      <c r="B101" s="25" t="n">
        <v>0.02102419093201258</v>
      </c>
    </row>
    <row r="102">
      <c r="A102" s="36" t="n">
        <v>44238</v>
      </c>
      <c r="B102" s="25" t="n">
        <v>0.02230419934439326</v>
      </c>
    </row>
    <row r="103">
      <c r="A103" s="36" t="n">
        <v>44239</v>
      </c>
      <c r="B103" s="25" t="n">
        <v>0.02689344557135032</v>
      </c>
    </row>
    <row r="104">
      <c r="A104" s="36" t="n">
        <v>44244</v>
      </c>
      <c r="B104" s="25" t="n">
        <v>0.02683524389341696</v>
      </c>
    </row>
    <row r="105">
      <c r="A105" s="36" t="n">
        <v>44245</v>
      </c>
      <c r="B105" s="25" t="n">
        <v>0.02333293591292779</v>
      </c>
    </row>
    <row r="106">
      <c r="A106" s="36" t="n">
        <v>44246</v>
      </c>
      <c r="B106" s="25" t="n">
        <v>0.02491072650230824</v>
      </c>
    </row>
    <row r="107">
      <c r="A107" s="36" t="n">
        <v>44249</v>
      </c>
      <c r="B107" s="25" t="n">
        <v>0.02027046768215363</v>
      </c>
    </row>
    <row r="108">
      <c r="A108" s="36" t="n">
        <v>44250</v>
      </c>
      <c r="B108" s="25" t="n">
        <v>0.02064300746749403</v>
      </c>
    </row>
    <row r="109">
      <c r="A109" s="36" t="n">
        <v>44251</v>
      </c>
      <c r="B109" s="25" t="n">
        <v>0.01944009936298458</v>
      </c>
    </row>
    <row r="110">
      <c r="A110" s="36" t="n">
        <v>44252</v>
      </c>
      <c r="B110" s="25" t="n">
        <v>0.01572982201073436</v>
      </c>
    </row>
    <row r="111">
      <c r="A111" s="36" t="n">
        <v>44253</v>
      </c>
      <c r="B111" s="25" t="n">
        <v>0.01392394835003419</v>
      </c>
    </row>
    <row r="112">
      <c r="A112" s="36" t="n">
        <v>44256</v>
      </c>
      <c r="B112" s="25" t="n">
        <v>0.01530123410693185</v>
      </c>
    </row>
    <row r="113">
      <c r="A113" s="36" t="n">
        <v>44257</v>
      </c>
      <c r="B113" s="25" t="n">
        <v>0.01517638893275669</v>
      </c>
    </row>
    <row r="114">
      <c r="A114" s="36" t="n">
        <v>44258</v>
      </c>
      <c r="B114" s="25" t="n">
        <v>0.01396085423760057</v>
      </c>
    </row>
    <row r="115">
      <c r="A115" s="36" t="n">
        <v>44259</v>
      </c>
      <c r="B115" s="25" t="n">
        <v>0.01536152821451076</v>
      </c>
    </row>
    <row r="116">
      <c r="A116" s="36" t="n">
        <v>44260</v>
      </c>
      <c r="B116" s="25" t="n">
        <v>0.0187450208917036</v>
      </c>
    </row>
    <row r="117">
      <c r="A117" s="36" t="n">
        <v>44263</v>
      </c>
      <c r="B117" s="25" t="n">
        <v>0.01299690234166168</v>
      </c>
    </row>
    <row r="118">
      <c r="A118" s="36" t="n">
        <v>44264</v>
      </c>
      <c r="B118" s="25" t="n">
        <v>0.01216882812007231</v>
      </c>
    </row>
    <row r="119">
      <c r="A119" s="36" t="n">
        <v>44265</v>
      </c>
      <c r="B119" s="25" t="n">
        <v>0.01592521565710869</v>
      </c>
    </row>
    <row r="120">
      <c r="A120" s="36" t="n">
        <v>44266</v>
      </c>
      <c r="B120" s="25" t="n">
        <v>0.01541506227980616</v>
      </c>
    </row>
    <row r="121">
      <c r="A121" s="36" t="n">
        <v>44267</v>
      </c>
      <c r="B121" s="25" t="n">
        <v>0.01222130196188648</v>
      </c>
    </row>
    <row r="122">
      <c r="A122" s="36" t="n">
        <v>44270</v>
      </c>
      <c r="B122" s="25" t="n">
        <v>0.01622412329993089</v>
      </c>
    </row>
    <row r="123">
      <c r="A123" s="36" t="n">
        <v>44271</v>
      </c>
      <c r="B123" s="25" t="n">
        <v>0.01351890296672298</v>
      </c>
    </row>
    <row r="124">
      <c r="A124" s="36" t="n">
        <v>44272</v>
      </c>
      <c r="B124" s="25" t="n">
        <v>0.01141440244093045</v>
      </c>
    </row>
    <row r="125">
      <c r="A125" s="36" t="n">
        <v>44273</v>
      </c>
      <c r="B125" s="25" t="n">
        <v>0.01000166917331907</v>
      </c>
    </row>
    <row r="126">
      <c r="A126" s="36" t="n">
        <v>44274</v>
      </c>
      <c r="B126" s="25" t="n">
        <v>0.01180100877114409</v>
      </c>
    </row>
    <row r="127">
      <c r="A127" s="36" t="n">
        <v>44277</v>
      </c>
      <c r="B127" s="25" t="n">
        <v>0.01238875010695861</v>
      </c>
    </row>
    <row r="128">
      <c r="A128" s="36" t="n">
        <v>44278</v>
      </c>
      <c r="B128" s="25" t="n">
        <v>0.01347226278839686</v>
      </c>
    </row>
    <row r="129">
      <c r="A129" s="36" t="n">
        <v>44280</v>
      </c>
      <c r="B129" s="25" t="n">
        <v>0.01163187543994576</v>
      </c>
    </row>
    <row r="130">
      <c r="A130" s="36" t="n">
        <v>44281</v>
      </c>
      <c r="B130" s="25" t="n">
        <v>0.01272597672624665</v>
      </c>
    </row>
    <row r="131">
      <c r="A131" s="36" t="n">
        <v>44284</v>
      </c>
      <c r="B131" s="25" t="n">
        <v>0.01599274101940884</v>
      </c>
    </row>
    <row r="132">
      <c r="A132" s="36" t="n">
        <v>44285</v>
      </c>
      <c r="B132" s="25" t="n">
        <v>0.01597473207825262</v>
      </c>
    </row>
    <row r="133">
      <c r="A133" s="36" t="n">
        <v>44286</v>
      </c>
      <c r="B133" s="25" t="n">
        <v>0.02037236145149818</v>
      </c>
    </row>
    <row r="134">
      <c r="A134" s="36" t="n">
        <v>44291</v>
      </c>
      <c r="B134" s="25" t="n">
        <v>0.0139301878981879</v>
      </c>
    </row>
    <row r="135">
      <c r="A135" s="36" t="n">
        <v>44292</v>
      </c>
      <c r="B135" s="25" t="n">
        <v>0.0135154190846003</v>
      </c>
    </row>
    <row r="136">
      <c r="A136" s="36" t="n">
        <v>44293</v>
      </c>
      <c r="B136" s="25" t="n">
        <v>0.01300410085952713</v>
      </c>
    </row>
    <row r="137">
      <c r="A137" s="36" t="n">
        <v>44294</v>
      </c>
      <c r="B137" s="25" t="n">
        <v>0.01569827167351712</v>
      </c>
    </row>
    <row r="138">
      <c r="A138" s="36" t="n">
        <v>44295</v>
      </c>
      <c r="B138" s="25" t="n">
        <v>0.01518372680623381</v>
      </c>
    </row>
    <row r="139">
      <c r="A139" s="36" t="n">
        <v>44298</v>
      </c>
      <c r="B139" s="25" t="n">
        <v>0.01677162866974036</v>
      </c>
    </row>
    <row r="140">
      <c r="A140" s="36" t="n">
        <v>44299</v>
      </c>
      <c r="B140" s="25" t="n">
        <v>0.01656591395670132</v>
      </c>
    </row>
    <row r="141">
      <c r="A141" s="36" t="n">
        <v>44300</v>
      </c>
      <c r="B141" s="25" t="n">
        <v>0.0187571150901471</v>
      </c>
    </row>
    <row r="142">
      <c r="A142" s="36" t="n">
        <v>44301</v>
      </c>
      <c r="B142" s="25" t="n">
        <v>0.01924291788746774</v>
      </c>
    </row>
    <row r="143">
      <c r="A143" s="36" t="n">
        <v>44302</v>
      </c>
      <c r="B143" s="25" t="n">
        <v>0.02073660570278413</v>
      </c>
    </row>
    <row r="144">
      <c r="A144" s="36" t="n">
        <v>44305</v>
      </c>
      <c r="B144" s="25" t="n">
        <v>0.01900976129765863</v>
      </c>
    </row>
    <row r="145">
      <c r="A145" s="36" t="n">
        <v>44306</v>
      </c>
      <c r="B145" s="25" t="n">
        <v>0.01960018045611106</v>
      </c>
    </row>
    <row r="146">
      <c r="A146" s="36" t="n">
        <v>44307</v>
      </c>
      <c r="B146" s="25" t="n">
        <v>0.02119658612468761</v>
      </c>
    </row>
    <row r="147">
      <c r="A147" s="36" t="n">
        <v>44308</v>
      </c>
      <c r="B147" s="25" t="n">
        <v>0.02299197717658163</v>
      </c>
    </row>
    <row r="148">
      <c r="A148" s="36" t="n">
        <v>44309</v>
      </c>
      <c r="B148" s="25" t="n">
        <v>0.02398242336893575</v>
      </c>
    </row>
    <row r="149">
      <c r="A149" s="36" t="n">
        <v>44312</v>
      </c>
      <c r="B149" s="25" t="n">
        <v>0.0203600188973459</v>
      </c>
    </row>
    <row r="150">
      <c r="A150" s="36" t="n">
        <v>44313</v>
      </c>
      <c r="B150" s="25" t="n">
        <v>0.01795293512756946</v>
      </c>
    </row>
    <row r="151">
      <c r="A151" s="36" t="n">
        <v>44314</v>
      </c>
      <c r="B151" s="25" t="n">
        <v>0.01964906096163754</v>
      </c>
    </row>
    <row r="152">
      <c r="A152" s="36" t="n">
        <v>44315</v>
      </c>
      <c r="B152" s="25" t="n">
        <v>0.01633154795753933</v>
      </c>
    </row>
    <row r="153">
      <c r="A153" s="36" t="n">
        <v>44316</v>
      </c>
      <c r="B153" s="25" t="n">
        <v>0.01752376238972758</v>
      </c>
    </row>
    <row r="154">
      <c r="A154" s="36" t="n">
        <v>44319</v>
      </c>
      <c r="B154" s="25" t="n">
        <v>0.0164954576446727</v>
      </c>
    </row>
    <row r="155">
      <c r="A155" s="36" t="n">
        <v>44320</v>
      </c>
      <c r="B155" s="25" t="n">
        <v>0.01688632555521941</v>
      </c>
    </row>
    <row r="156">
      <c r="A156" s="36" t="n">
        <v>44321</v>
      </c>
      <c r="B156" s="25" t="n">
        <v>0.01617492623130895</v>
      </c>
    </row>
    <row r="157">
      <c r="A157" s="36" t="n">
        <v>44322</v>
      </c>
      <c r="B157" s="25" t="n">
        <v>0.01826560183872694</v>
      </c>
    </row>
    <row r="158">
      <c r="A158" s="36" t="n">
        <v>44323</v>
      </c>
      <c r="B158" s="25" t="n">
        <v>0.02055361185934979</v>
      </c>
    </row>
    <row r="159">
      <c r="A159" s="36" t="n">
        <v>44326</v>
      </c>
      <c r="B159" s="25" t="n">
        <v>0.02052864192430259</v>
      </c>
    </row>
    <row r="160">
      <c r="A160" s="36" t="n">
        <v>44327</v>
      </c>
      <c r="B160" s="25" t="n">
        <v>0.02221434931817984</v>
      </c>
    </row>
    <row r="161">
      <c r="A161" s="36" t="n">
        <v>44328</v>
      </c>
      <c r="B161" s="25" t="n">
        <v>0.02251013292724491</v>
      </c>
    </row>
    <row r="162">
      <c r="A162" s="36" t="n">
        <v>44329</v>
      </c>
      <c r="B162" s="25" t="n">
        <v>0.02280329712884005</v>
      </c>
    </row>
    <row r="163">
      <c r="A163" s="36" t="n">
        <v>44330</v>
      </c>
      <c r="B163" s="25" t="n">
        <v>0.02380768845711634</v>
      </c>
    </row>
    <row r="164">
      <c r="A164" s="36" t="n">
        <v>44333</v>
      </c>
      <c r="B164" s="25" t="n">
        <v>0.02398850057755741</v>
      </c>
    </row>
    <row r="165">
      <c r="A165" s="36" t="n">
        <v>44334</v>
      </c>
      <c r="B165" s="25" t="n">
        <v>0.02347855556390771</v>
      </c>
    </row>
    <row r="166">
      <c r="A166" s="36" t="n">
        <v>44335</v>
      </c>
      <c r="B166" s="25" t="n">
        <v>0.02426274304825149</v>
      </c>
    </row>
    <row r="167">
      <c r="A167" s="36" t="n">
        <v>44336</v>
      </c>
      <c r="B167" s="25" t="n">
        <v>0.025551957639739</v>
      </c>
    </row>
    <row r="168">
      <c r="A168" s="36" t="n">
        <v>44337</v>
      </c>
      <c r="B168" s="25" t="n">
        <v>0.02573870333924505</v>
      </c>
    </row>
    <row r="169">
      <c r="A169" s="36" t="n">
        <v>44342</v>
      </c>
      <c r="B169" s="25" t="n">
        <v>0.02360243325914968</v>
      </c>
    </row>
    <row r="170">
      <c r="A170" s="36" t="n">
        <v>44343</v>
      </c>
      <c r="B170" s="25" t="n">
        <v>0.02479685797221776</v>
      </c>
    </row>
    <row r="171">
      <c r="A171" s="36" t="n">
        <v>44344</v>
      </c>
      <c r="B171" s="25" t="n">
        <v>0.02328276355958309</v>
      </c>
    </row>
    <row r="172">
      <c r="A172" s="36" t="n">
        <v>44347</v>
      </c>
      <c r="B172" s="25" t="n">
        <v>0.02335502959642288</v>
      </c>
    </row>
    <row r="173">
      <c r="A173" s="36" t="n">
        <v>44348</v>
      </c>
      <c r="B173" s="25" t="n">
        <v>0.02284813067390706</v>
      </c>
    </row>
    <row r="174">
      <c r="A174" s="36" t="n">
        <v>44349</v>
      </c>
      <c r="B174" s="25" t="n">
        <v>0.0208431454989399</v>
      </c>
    </row>
    <row r="175">
      <c r="A175" s="36" t="n">
        <v>44350</v>
      </c>
      <c r="B175" s="25" t="n">
        <v>0.02183268841039387</v>
      </c>
    </row>
    <row r="176">
      <c r="A176" s="36" t="n">
        <v>44351</v>
      </c>
      <c r="B176" s="25" t="n">
        <v>0.0223222371765055</v>
      </c>
    </row>
    <row r="177">
      <c r="A177" s="36" t="n">
        <v>44354</v>
      </c>
      <c r="B177" s="25" t="n">
        <v>0.01699493035326183</v>
      </c>
    </row>
    <row r="178">
      <c r="A178" s="36" t="n">
        <v>44355</v>
      </c>
      <c r="B178" s="25" t="n">
        <v>0.01759008311665866</v>
      </c>
    </row>
    <row r="179">
      <c r="A179" s="36" t="n">
        <v>44356</v>
      </c>
      <c r="B179" s="25" t="n">
        <v>0.01678459392634729</v>
      </c>
    </row>
    <row r="180">
      <c r="A180" s="36" t="n">
        <v>44357</v>
      </c>
      <c r="B180" s="25" t="n">
        <v>0.01557637148651136</v>
      </c>
    </row>
    <row r="181">
      <c r="A181" s="36" t="n">
        <v>44358</v>
      </c>
      <c r="B181" s="25" t="n">
        <v>0.0162695876254102</v>
      </c>
    </row>
    <row r="182">
      <c r="A182" s="36" t="n">
        <v>44361</v>
      </c>
      <c r="B182" s="25" t="n">
        <v>0.01574033837879757</v>
      </c>
    </row>
    <row r="183">
      <c r="A183" s="36" t="n">
        <v>44362</v>
      </c>
      <c r="B183" s="25" t="n">
        <v>0.0166299280891552</v>
      </c>
    </row>
    <row r="184">
      <c r="A184" s="36" t="n">
        <v>44363</v>
      </c>
      <c r="B184" s="25" t="n">
        <v>0.01551909564341641</v>
      </c>
    </row>
    <row r="185">
      <c r="A185" s="36" t="n">
        <v>44364</v>
      </c>
      <c r="B185" s="25" t="n">
        <v>0.0181088620361462</v>
      </c>
    </row>
    <row r="186">
      <c r="A186" s="36" t="n">
        <v>44365</v>
      </c>
      <c r="B186" s="25" t="n">
        <v>0.01929889437624721</v>
      </c>
    </row>
    <row r="187">
      <c r="A187" s="36" t="n">
        <v>44369</v>
      </c>
      <c r="B187" s="25" t="n">
        <v>0.01965852602338752</v>
      </c>
    </row>
    <row r="188">
      <c r="A188" s="36" t="n">
        <v>44370</v>
      </c>
      <c r="B188" s="25" t="n">
        <v>0.02024903739508299</v>
      </c>
    </row>
    <row r="189">
      <c r="A189" s="36" t="n">
        <v>44371</v>
      </c>
      <c r="B189" s="25" t="n">
        <v>0.02173839229094343</v>
      </c>
    </row>
    <row r="190">
      <c r="A190" s="36" t="n">
        <v>44372</v>
      </c>
      <c r="B190" s="25" t="n">
        <v>0.02472692212125721</v>
      </c>
    </row>
    <row r="191">
      <c r="A191" s="36" t="n">
        <v>44375</v>
      </c>
      <c r="B191" s="25" t="n">
        <v>0.02399913505072343</v>
      </c>
    </row>
    <row r="192">
      <c r="A192" s="36" t="n">
        <v>44376</v>
      </c>
      <c r="B192" s="25" t="n">
        <v>0.02578893470365995</v>
      </c>
    </row>
    <row r="193">
      <c r="A193" s="36" t="n">
        <v>44377</v>
      </c>
      <c r="B193" s="25" t="n">
        <v>0.02437921870758042</v>
      </c>
    </row>
    <row r="194">
      <c r="A194" s="36" t="n">
        <v>44378</v>
      </c>
      <c r="B194" s="25" t="n">
        <v>0.0245702089450755</v>
      </c>
    </row>
    <row r="195">
      <c r="A195" s="36" t="n">
        <v>44379</v>
      </c>
      <c r="B195" s="25" t="n">
        <v>0.02446184816299679</v>
      </c>
    </row>
    <row r="196">
      <c r="A196" s="36" t="n">
        <v>44382</v>
      </c>
      <c r="B196" s="25" t="n">
        <v>0.02603526458257627</v>
      </c>
    </row>
    <row r="197">
      <c r="A197" s="36" t="n">
        <v>44383</v>
      </c>
      <c r="B197" s="25" t="n">
        <v>0.02532636851268821</v>
      </c>
    </row>
    <row r="198">
      <c r="A198" s="36" t="n">
        <v>44384</v>
      </c>
      <c r="B198" s="25" t="n">
        <v>0.01841719557363702</v>
      </c>
    </row>
    <row r="199">
      <c r="A199" s="36" t="n">
        <v>44385</v>
      </c>
      <c r="B199" s="25" t="n">
        <v>0.01680857766006311</v>
      </c>
    </row>
    <row r="200">
      <c r="A200" s="36" t="n">
        <v>44389</v>
      </c>
      <c r="B200" s="25" t="n">
        <v>0.01507410066974318</v>
      </c>
    </row>
    <row r="201">
      <c r="A201" s="36" t="n">
        <v>44390</v>
      </c>
      <c r="B201" s="25" t="n">
        <v>0.01296525768849249</v>
      </c>
    </row>
    <row r="202">
      <c r="A202" s="36" t="n">
        <v>44391</v>
      </c>
      <c r="B202" s="25" t="n">
        <v>0.01305615227467483</v>
      </c>
    </row>
    <row r="203">
      <c r="A203" s="36" t="n">
        <v>44392</v>
      </c>
      <c r="B203" s="25" t="n">
        <v>0.01074747474576532</v>
      </c>
    </row>
    <row r="204">
      <c r="A204" s="36" t="n">
        <v>44393</v>
      </c>
      <c r="B204" s="25" t="n">
        <v>0.008238732016516204</v>
      </c>
    </row>
    <row r="205">
      <c r="A205" s="36" t="inlineStr">
        <is>
          <t>Total general</t>
        </is>
      </c>
      <c r="B205" t="n">
        <v>4.498777714472757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4.xml><?xml version="1.0" encoding="utf-8"?>
<worksheet xmlns="http://schemas.openxmlformats.org/spreadsheetml/2006/main">
  <sheetPr codeName="Hoja12">
    <outlinePr summaryBelow="1" summaryRight="1"/>
    <pageSetUpPr/>
  </sheetPr>
  <dimension ref="A1:B246"/>
  <sheetViews>
    <sheetView workbookViewId="0">
      <selection activeCell="A4" sqref="A4"/>
    </sheetView>
  </sheetViews>
  <sheetFormatPr baseColWidth="10" defaultRowHeight="15"/>
  <cols>
    <col width="17.5703125" bestFit="1" customWidth="1" style="76" min="1" max="1"/>
    <col width="13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29-38</t>
        </is>
      </c>
    </row>
    <row r="2">
      <c r="A2" s="36" t="n">
        <v>44098</v>
      </c>
      <c r="B2" t="n">
        <v>0.04505484304389146</v>
      </c>
    </row>
    <row r="3">
      <c r="A3" s="36" t="n">
        <v>44099</v>
      </c>
      <c r="B3" t="n">
        <v>0.03875855300192271</v>
      </c>
    </row>
    <row r="4">
      <c r="A4" s="36" t="n">
        <v>44102</v>
      </c>
      <c r="B4" t="n">
        <v>0.04181690964380225</v>
      </c>
    </row>
    <row r="5">
      <c r="A5" s="36" t="n">
        <v>44103</v>
      </c>
      <c r="B5" t="n">
        <v>0.04518893514861433</v>
      </c>
    </row>
    <row r="6">
      <c r="A6" s="36" t="n">
        <v>44104</v>
      </c>
      <c r="B6" t="n">
        <v>0.03776086853851501</v>
      </c>
    </row>
    <row r="7">
      <c r="A7" s="36" t="n">
        <v>44105</v>
      </c>
      <c r="B7" t="n">
        <v>0.03667500426782178</v>
      </c>
    </row>
    <row r="8">
      <c r="A8" s="36" t="n">
        <v>44106</v>
      </c>
      <c r="B8" t="n">
        <v>0.03610896241511441</v>
      </c>
    </row>
    <row r="9">
      <c r="A9" s="36" t="n">
        <v>44109</v>
      </c>
      <c r="B9" t="n">
        <v>0.04047552775507035</v>
      </c>
    </row>
    <row r="10">
      <c r="A10" s="36" t="n">
        <v>44110</v>
      </c>
      <c r="B10" t="n">
        <v>0.04205983856001316</v>
      </c>
    </row>
    <row r="11">
      <c r="A11" s="36" t="n">
        <v>44111</v>
      </c>
      <c r="B11" t="n">
        <v>0.0414574012733685</v>
      </c>
    </row>
    <row r="12">
      <c r="A12" s="36" t="n">
        <v>44112</v>
      </c>
      <c r="B12" t="n">
        <v>0.04183861633909797</v>
      </c>
    </row>
    <row r="13">
      <c r="A13" s="36" t="n">
        <v>44113</v>
      </c>
      <c r="B13" t="n">
        <v>0.04374967161342203</v>
      </c>
    </row>
    <row r="14">
      <c r="A14" s="36" t="n">
        <v>44117</v>
      </c>
      <c r="B14" t="n">
        <v>0.04189125472107591</v>
      </c>
    </row>
    <row r="15">
      <c r="A15" s="36" t="n">
        <v>44118</v>
      </c>
      <c r="B15" t="n">
        <v>0.04114377059158975</v>
      </c>
    </row>
    <row r="16">
      <c r="A16" s="36" t="n">
        <v>44119</v>
      </c>
      <c r="B16" t="n">
        <v>0.04461395685536079</v>
      </c>
    </row>
    <row r="17">
      <c r="A17" s="36" t="n">
        <v>44120</v>
      </c>
      <c r="B17" t="n">
        <v>0.04788924665135164</v>
      </c>
    </row>
    <row r="18">
      <c r="A18" s="36" t="n">
        <v>44123</v>
      </c>
      <c r="B18" t="n">
        <v>0.04940762644628693</v>
      </c>
    </row>
    <row r="19">
      <c r="A19" s="36" t="n">
        <v>44124</v>
      </c>
      <c r="B19" t="n">
        <v>0.04167543250904177</v>
      </c>
    </row>
    <row r="20">
      <c r="A20" s="36" t="n">
        <v>44125</v>
      </c>
      <c r="B20" t="n">
        <v>0.0469370815221577</v>
      </c>
    </row>
    <row r="21">
      <c r="A21" s="36" t="n">
        <v>44126</v>
      </c>
      <c r="B21" t="n">
        <v>0.04628407884882224</v>
      </c>
    </row>
    <row r="22">
      <c r="A22" s="36" t="n">
        <v>44127</v>
      </c>
      <c r="B22" t="n">
        <v>0.06658924434411367</v>
      </c>
    </row>
    <row r="23">
      <c r="A23" s="36" t="n">
        <v>44130</v>
      </c>
      <c r="B23" t="n">
        <v>0.04814895596839369</v>
      </c>
    </row>
    <row r="24">
      <c r="A24" s="36" t="n">
        <v>44131</v>
      </c>
      <c r="B24" t="n">
        <v>0.06670534220664459</v>
      </c>
    </row>
    <row r="25">
      <c r="A25" s="36" t="n">
        <v>44132</v>
      </c>
      <c r="B25" t="n">
        <v>0.08378309611621432</v>
      </c>
    </row>
    <row r="26">
      <c r="A26" s="36" t="n">
        <v>44133</v>
      </c>
      <c r="B26" t="n">
        <v>0.09645939032089978</v>
      </c>
    </row>
    <row r="27">
      <c r="A27" s="36" t="n">
        <v>44134</v>
      </c>
      <c r="B27" t="n">
        <v>0.09201071582179227</v>
      </c>
    </row>
    <row r="28">
      <c r="A28" s="36" t="n">
        <v>44137</v>
      </c>
      <c r="B28" t="n">
        <v>0.0772929600313747</v>
      </c>
    </row>
    <row r="29">
      <c r="A29" s="36" t="n">
        <v>44138</v>
      </c>
      <c r="B29" t="n">
        <v>0.0822515301993022</v>
      </c>
    </row>
    <row r="30">
      <c r="A30" s="36" t="n">
        <v>44139</v>
      </c>
      <c r="B30" t="n">
        <v>0.07924377899437046</v>
      </c>
    </row>
    <row r="31">
      <c r="A31" s="36" t="n">
        <v>44140</v>
      </c>
      <c r="B31" t="n">
        <v>0.08377203559958074</v>
      </c>
    </row>
    <row r="32">
      <c r="A32" s="36" t="n">
        <v>44141</v>
      </c>
      <c r="B32" t="n">
        <v>0.08305476945677115</v>
      </c>
    </row>
    <row r="33">
      <c r="A33" s="36" t="n">
        <v>44144</v>
      </c>
      <c r="B33" t="n">
        <v>0.0807358325451818</v>
      </c>
    </row>
    <row r="34">
      <c r="A34" s="36" t="n">
        <v>44145</v>
      </c>
      <c r="B34" t="n">
        <v>0.06918293216373816</v>
      </c>
    </row>
    <row r="35">
      <c r="A35" s="36" t="n">
        <v>44146</v>
      </c>
      <c r="B35" t="n">
        <v>0.06614896360577738</v>
      </c>
    </row>
    <row r="36">
      <c r="A36" s="36" t="n">
        <v>44147</v>
      </c>
      <c r="B36" t="n">
        <v>0.0525806116754019</v>
      </c>
    </row>
    <row r="37">
      <c r="A37" s="36" t="n">
        <v>44148</v>
      </c>
      <c r="B37" t="n">
        <v>0.05592990361804362</v>
      </c>
    </row>
    <row r="38">
      <c r="A38" s="36" t="n">
        <v>44151</v>
      </c>
      <c r="B38" t="n">
        <v>0.05459546853513714</v>
      </c>
    </row>
    <row r="39">
      <c r="A39" s="36" t="n">
        <v>44152</v>
      </c>
      <c r="B39" t="n">
        <v>0.04652425095371321</v>
      </c>
    </row>
    <row r="40">
      <c r="A40" s="36" t="n">
        <v>44153</v>
      </c>
      <c r="B40" t="n">
        <v>0.04348004790942867</v>
      </c>
    </row>
    <row r="41">
      <c r="A41" s="36" t="n">
        <v>44154</v>
      </c>
      <c r="B41" t="n">
        <v>0.03539574700034748</v>
      </c>
    </row>
    <row r="42">
      <c r="A42" s="36" t="n">
        <v>44155</v>
      </c>
      <c r="B42" t="n">
        <v>0.0364806408204375</v>
      </c>
    </row>
    <row r="43">
      <c r="A43" s="36" t="n">
        <v>44159</v>
      </c>
      <c r="B43" t="n">
        <v>0.04837304913894896</v>
      </c>
    </row>
    <row r="44">
      <c r="A44" s="36" t="n">
        <v>44160</v>
      </c>
      <c r="B44" t="n">
        <v>0.05630901486520595</v>
      </c>
    </row>
    <row r="45">
      <c r="A45" s="36" t="n">
        <v>44161</v>
      </c>
      <c r="B45" t="n">
        <v>0.05929027593826874</v>
      </c>
    </row>
    <row r="46">
      <c r="A46" s="36" t="n">
        <v>44162</v>
      </c>
      <c r="B46" t="n">
        <v>0.05706545448362532</v>
      </c>
    </row>
    <row r="47">
      <c r="A47" s="36" t="n">
        <v>44165</v>
      </c>
      <c r="B47" t="n">
        <v>0.05278930579227592</v>
      </c>
    </row>
    <row r="48">
      <c r="A48" s="36" t="n">
        <v>44166</v>
      </c>
      <c r="B48" t="n">
        <v>0.05135976793166197</v>
      </c>
    </row>
    <row r="49">
      <c r="A49" s="36" t="n">
        <v>44167</v>
      </c>
      <c r="B49" t="n">
        <v>0.0400356605482281</v>
      </c>
    </row>
    <row r="50">
      <c r="A50" s="36" t="n">
        <v>44168</v>
      </c>
      <c r="B50" t="n">
        <v>0.04633219534754851</v>
      </c>
    </row>
    <row r="51">
      <c r="A51" s="36" t="n">
        <v>44169</v>
      </c>
      <c r="B51" t="n">
        <v>0.0485214292926277</v>
      </c>
    </row>
    <row r="52">
      <c r="A52" s="36" t="n">
        <v>44174</v>
      </c>
      <c r="B52" t="n">
        <v>0.04786640741578485</v>
      </c>
    </row>
    <row r="53">
      <c r="A53" s="36" t="n">
        <v>44175</v>
      </c>
      <c r="B53" t="n">
        <v>0.04987895236478679</v>
      </c>
    </row>
    <row r="54">
      <c r="A54" s="36" t="n">
        <v>44176</v>
      </c>
      <c r="B54" t="n">
        <v>0.04815720180464383</v>
      </c>
    </row>
    <row r="55">
      <c r="A55" s="36" t="n">
        <v>44179</v>
      </c>
      <c r="B55" t="n">
        <v>0.04893574674072848</v>
      </c>
    </row>
    <row r="56">
      <c r="A56" s="36" t="n">
        <v>44180</v>
      </c>
      <c r="B56" t="n">
        <v>0.04960846375171468</v>
      </c>
    </row>
    <row r="57">
      <c r="A57" s="36" t="n">
        <v>44181</v>
      </c>
      <c r="B57" t="n">
        <v>0.04478490095298965</v>
      </c>
    </row>
    <row r="58">
      <c r="A58" s="36" t="n">
        <v>44182</v>
      </c>
      <c r="B58" t="n">
        <v>0.03877145681120281</v>
      </c>
    </row>
    <row r="59">
      <c r="A59" s="36" t="n">
        <v>44183</v>
      </c>
      <c r="B59" t="n">
        <v>0.03696880192752672</v>
      </c>
    </row>
    <row r="60">
      <c r="A60" s="36" t="n">
        <v>44186</v>
      </c>
      <c r="B60" t="n">
        <v>0.03806098652422413</v>
      </c>
    </row>
    <row r="61">
      <c r="A61" s="36" t="n">
        <v>44187</v>
      </c>
      <c r="B61" t="n">
        <v>0.03855527970912681</v>
      </c>
    </row>
    <row r="62">
      <c r="A62" s="36" t="n">
        <v>44188</v>
      </c>
      <c r="B62" t="n">
        <v>0.03894372771928545</v>
      </c>
    </row>
    <row r="63">
      <c r="A63" s="36" t="n">
        <v>44193</v>
      </c>
      <c r="B63" t="n">
        <v>0.03438744072413691</v>
      </c>
    </row>
    <row r="64">
      <c r="A64" s="36" t="n">
        <v>44194</v>
      </c>
      <c r="B64" t="n">
        <v>0.03748421529451523</v>
      </c>
    </row>
    <row r="65">
      <c r="A65" s="36" t="n">
        <v>44195</v>
      </c>
      <c r="B65" t="n">
        <v>0.04347774757867262</v>
      </c>
    </row>
    <row r="66">
      <c r="A66" s="36" t="n">
        <v>44200</v>
      </c>
      <c r="B66" t="n">
        <v>0.04318115453443294</v>
      </c>
    </row>
    <row r="67">
      <c r="A67" s="36" t="n">
        <v>44201</v>
      </c>
      <c r="B67" t="n">
        <v>0.04536747192114859</v>
      </c>
    </row>
    <row r="68">
      <c r="A68" s="36" t="n">
        <v>44202</v>
      </c>
      <c r="B68" t="n">
        <v>0.0430669607525524</v>
      </c>
    </row>
    <row r="69">
      <c r="A69" s="36" t="n">
        <v>44203</v>
      </c>
      <c r="B69" t="n">
        <v>0.04304484543317783</v>
      </c>
    </row>
    <row r="70">
      <c r="A70" s="36" t="n">
        <v>44204</v>
      </c>
      <c r="B70" t="n">
        <v>0.04031635135670303</v>
      </c>
    </row>
    <row r="71">
      <c r="A71" s="36" t="n">
        <v>44207</v>
      </c>
      <c r="B71" t="n">
        <v>0.04558604658903986</v>
      </c>
    </row>
    <row r="72">
      <c r="A72" s="36" t="n">
        <v>44208</v>
      </c>
      <c r="B72" t="n">
        <v>0.04778507951133487</v>
      </c>
    </row>
    <row r="73">
      <c r="A73" s="36" t="n">
        <v>44209</v>
      </c>
      <c r="B73" t="n">
        <v>0.04495580620693812</v>
      </c>
    </row>
    <row r="74">
      <c r="A74" s="36" t="n">
        <v>44210</v>
      </c>
      <c r="B74" t="n">
        <v>0.04713400914332549</v>
      </c>
    </row>
    <row r="75">
      <c r="A75" s="36" t="n">
        <v>44211</v>
      </c>
      <c r="B75" t="n">
        <v>0.04551681779984262</v>
      </c>
    </row>
    <row r="76">
      <c r="A76" s="36" t="n">
        <v>44214</v>
      </c>
      <c r="B76" t="n">
        <v>0.04468758961821712</v>
      </c>
    </row>
    <row r="77">
      <c r="A77" s="36" t="n">
        <v>44215</v>
      </c>
      <c r="B77" t="n">
        <v>0.04518214081592642</v>
      </c>
    </row>
    <row r="78">
      <c r="A78" s="36" t="n">
        <v>44216</v>
      </c>
      <c r="B78" t="n">
        <v>0.03775851930846058</v>
      </c>
    </row>
    <row r="79">
      <c r="A79" s="36" t="n">
        <v>44217</v>
      </c>
      <c r="B79" t="n">
        <v>0.04054748354225901</v>
      </c>
    </row>
    <row r="80">
      <c r="A80" s="36" t="n">
        <v>44218</v>
      </c>
      <c r="B80" t="n">
        <v>0.03964121528952308</v>
      </c>
    </row>
    <row r="81">
      <c r="A81" s="36" t="n">
        <v>44221</v>
      </c>
      <c r="B81" t="n">
        <v>0.03550506864399344</v>
      </c>
    </row>
    <row r="82">
      <c r="A82" s="36" t="n">
        <v>44222</v>
      </c>
      <c r="B82" t="n">
        <v>0.0362941610871319</v>
      </c>
    </row>
    <row r="83">
      <c r="A83" s="36" t="n">
        <v>44223</v>
      </c>
      <c r="B83" t="n">
        <v>0.033282323774593</v>
      </c>
    </row>
    <row r="84">
      <c r="A84" s="36" t="n">
        <v>44224</v>
      </c>
      <c r="B84" t="n">
        <v>0.0285547372453992</v>
      </c>
    </row>
    <row r="85">
      <c r="A85" s="36" t="n">
        <v>44225</v>
      </c>
      <c r="B85" t="n">
        <v>0.03004979903597982</v>
      </c>
    </row>
    <row r="86">
      <c r="A86" s="36" t="n">
        <v>44228</v>
      </c>
      <c r="B86" t="n">
        <v>0.03183050963829182</v>
      </c>
    </row>
    <row r="87">
      <c r="A87" s="36" t="n">
        <v>44229</v>
      </c>
      <c r="B87" t="n">
        <v>0.03352433818618611</v>
      </c>
    </row>
    <row r="88">
      <c r="A88" s="36" t="n">
        <v>44230</v>
      </c>
      <c r="B88" t="n">
        <v>0.03200438636940706</v>
      </c>
    </row>
    <row r="89">
      <c r="A89" s="36" t="n">
        <v>44231</v>
      </c>
      <c r="B89" t="n">
        <v>0.03349101342224897</v>
      </c>
    </row>
    <row r="90">
      <c r="A90" s="36" t="n">
        <v>44232</v>
      </c>
      <c r="B90" t="n">
        <v>0.03628282610304207</v>
      </c>
    </row>
    <row r="91">
      <c r="A91" s="36" t="n">
        <v>44235</v>
      </c>
      <c r="B91" t="n">
        <v>0.03695671434414766</v>
      </c>
    </row>
    <row r="92">
      <c r="A92" s="36" t="n">
        <v>44236</v>
      </c>
      <c r="B92" t="n">
        <v>0.03814474965117232</v>
      </c>
    </row>
    <row r="93">
      <c r="A93" s="36" t="n">
        <v>44237</v>
      </c>
      <c r="B93" t="n">
        <v>0.04053414635447133</v>
      </c>
    </row>
    <row r="94">
      <c r="A94" s="36" t="n">
        <v>44238</v>
      </c>
      <c r="B94" t="n">
        <v>0.03741185665015095</v>
      </c>
    </row>
    <row r="95">
      <c r="A95" s="36" t="n">
        <v>44239</v>
      </c>
      <c r="B95" t="n">
        <v>0.03839923787089844</v>
      </c>
    </row>
    <row r="96">
      <c r="A96" s="36" t="n">
        <v>44244</v>
      </c>
      <c r="B96" t="n">
        <v>0.04134229869403921</v>
      </c>
    </row>
    <row r="97">
      <c r="A97" s="36" t="n">
        <v>44245</v>
      </c>
      <c r="B97" t="n">
        <v>0.04304245317982719</v>
      </c>
    </row>
    <row r="98">
      <c r="A98" s="36" t="n">
        <v>44246</v>
      </c>
      <c r="B98" t="n">
        <v>0.038817394082655</v>
      </c>
    </row>
    <row r="99">
      <c r="A99" s="36" t="n">
        <v>44249</v>
      </c>
      <c r="B99" t="n">
        <v>0.03977962094926868</v>
      </c>
    </row>
    <row r="100">
      <c r="A100" s="36" t="n">
        <v>44250</v>
      </c>
      <c r="B100" t="n">
        <v>0.03715069597995185</v>
      </c>
    </row>
    <row r="101">
      <c r="A101" s="36" t="n">
        <v>44251</v>
      </c>
      <c r="B101" t="n">
        <v>0.03724833262151162</v>
      </c>
    </row>
    <row r="102">
      <c r="A102" s="36" t="n">
        <v>44252</v>
      </c>
      <c r="B102" t="n">
        <v>0.03443840745748045</v>
      </c>
    </row>
    <row r="103">
      <c r="A103" s="36" t="n">
        <v>44253</v>
      </c>
      <c r="B103" t="n">
        <v>0.03323274310929097</v>
      </c>
    </row>
    <row r="104">
      <c r="A104" s="36" t="n">
        <v>44256</v>
      </c>
      <c r="B104" t="n">
        <v>0.0326089395922507</v>
      </c>
    </row>
    <row r="105">
      <c r="A105" s="36" t="n">
        <v>44257</v>
      </c>
      <c r="B105" t="n">
        <v>0.03358452129260053</v>
      </c>
    </row>
    <row r="106">
      <c r="A106" s="36" t="n">
        <v>44258</v>
      </c>
      <c r="B106" t="n">
        <v>0.04067256348000825</v>
      </c>
    </row>
    <row r="107">
      <c r="A107" s="36" t="n">
        <v>44259</v>
      </c>
      <c r="B107" t="n">
        <v>0.04117275432997886</v>
      </c>
    </row>
    <row r="108">
      <c r="A108" s="36" t="n">
        <v>44260</v>
      </c>
      <c r="B108" t="n">
        <v>0.04125473398708035</v>
      </c>
    </row>
    <row r="109">
      <c r="A109" s="36" t="n">
        <v>44263</v>
      </c>
      <c r="B109" t="n">
        <v>0.03950806971696025</v>
      </c>
    </row>
    <row r="110">
      <c r="A110" s="36" t="n">
        <v>44264</v>
      </c>
      <c r="B110" t="n">
        <v>0.0375794448846109</v>
      </c>
    </row>
    <row r="111">
      <c r="A111" s="36" t="n">
        <v>44265</v>
      </c>
      <c r="B111" t="n">
        <v>0.03003106088749524</v>
      </c>
    </row>
    <row r="112">
      <c r="A112" s="36" t="n">
        <v>44266</v>
      </c>
      <c r="B112" t="n">
        <v>0.03002106474657329</v>
      </c>
    </row>
    <row r="113">
      <c r="A113" s="36" t="n">
        <v>44267</v>
      </c>
      <c r="B113" t="n">
        <v>0.02862798824842105</v>
      </c>
    </row>
    <row r="114">
      <c r="A114" s="36" t="n">
        <v>44270</v>
      </c>
      <c r="B114" t="n">
        <v>0.02932932947772759</v>
      </c>
    </row>
    <row r="115">
      <c r="A115" s="36" t="n">
        <v>44271</v>
      </c>
      <c r="B115" t="n">
        <v>0.02502343386073946</v>
      </c>
    </row>
    <row r="116">
      <c r="A116" s="36" t="n">
        <v>44272</v>
      </c>
      <c r="B116" t="n">
        <v>0.02892123730111562</v>
      </c>
    </row>
    <row r="117">
      <c r="A117" s="36" t="n">
        <v>44273</v>
      </c>
      <c r="B117" t="n">
        <v>0.02900902475955619</v>
      </c>
    </row>
    <row r="118">
      <c r="A118" s="36" t="n">
        <v>44274</v>
      </c>
      <c r="B118" t="n">
        <v>0.02650664929079544</v>
      </c>
    </row>
    <row r="119">
      <c r="A119" s="36" t="n">
        <v>44277</v>
      </c>
      <c r="B119" t="n">
        <v>0.02349289514740177</v>
      </c>
    </row>
    <row r="120">
      <c r="A120" s="36" t="n">
        <v>44278</v>
      </c>
      <c r="B120" t="n">
        <v>0.02027477878746498</v>
      </c>
    </row>
    <row r="121">
      <c r="A121" s="36" t="n">
        <v>44280</v>
      </c>
      <c r="B121" t="n">
        <v>0.01693380011123052</v>
      </c>
    </row>
    <row r="122">
      <c r="A122" s="36" t="n">
        <v>44281</v>
      </c>
      <c r="B122" t="n">
        <v>0.01852806309291954</v>
      </c>
    </row>
    <row r="123">
      <c r="A123" s="36" t="n">
        <v>44284</v>
      </c>
      <c r="B123" t="n">
        <v>0.01959399899308456</v>
      </c>
    </row>
    <row r="124">
      <c r="A124" s="36" t="n">
        <v>44285</v>
      </c>
      <c r="B124" t="n">
        <v>0.01887573550752092</v>
      </c>
    </row>
    <row r="125">
      <c r="A125" s="36" t="n">
        <v>44286</v>
      </c>
      <c r="B125" t="n">
        <v>0.02187287532611276</v>
      </c>
    </row>
    <row r="126">
      <c r="A126" s="36" t="n">
        <v>44291</v>
      </c>
      <c r="B126" t="n">
        <v>0.02343327965749314</v>
      </c>
    </row>
    <row r="127">
      <c r="A127" s="36" t="n">
        <v>44292</v>
      </c>
      <c r="B127" t="n">
        <v>0.02281841388429606</v>
      </c>
    </row>
    <row r="128">
      <c r="A128" s="36" t="n">
        <v>44293</v>
      </c>
      <c r="B128" t="n">
        <v>0.03451095064387627</v>
      </c>
    </row>
    <row r="129">
      <c r="A129" s="36" t="n">
        <v>44294</v>
      </c>
      <c r="B129" t="n">
        <v>0.02650167548567711</v>
      </c>
    </row>
    <row r="130">
      <c r="A130" s="36" t="n">
        <v>44295</v>
      </c>
      <c r="B130" t="n">
        <v>0.02598709360890178</v>
      </c>
    </row>
    <row r="131">
      <c r="A131" s="36" t="n">
        <v>44298</v>
      </c>
      <c r="B131" t="n">
        <v>0.02627449254652509</v>
      </c>
    </row>
    <row r="132">
      <c r="A132" s="36" t="n">
        <v>44299</v>
      </c>
      <c r="B132" t="n">
        <v>0.02636883468993345</v>
      </c>
    </row>
    <row r="133">
      <c r="A133" s="36" t="n">
        <v>44300</v>
      </c>
      <c r="B133" t="n">
        <v>0.02795982547745302</v>
      </c>
    </row>
    <row r="134">
      <c r="A134" s="36" t="n">
        <v>44301</v>
      </c>
      <c r="B134" t="n">
        <v>0.026745101742357</v>
      </c>
    </row>
    <row r="135">
      <c r="A135" s="36" t="n">
        <v>44302</v>
      </c>
      <c r="B135" t="n">
        <v>0.02673833222685268</v>
      </c>
    </row>
    <row r="136">
      <c r="A136" s="36" t="n">
        <v>44305</v>
      </c>
      <c r="B136" t="n">
        <v>0.02771217532346715</v>
      </c>
    </row>
    <row r="137">
      <c r="A137" s="36" t="n">
        <v>44306</v>
      </c>
      <c r="B137" t="n">
        <v>0.02570185214698523</v>
      </c>
    </row>
    <row r="138">
      <c r="A138" s="36" t="n">
        <v>44307</v>
      </c>
      <c r="B138" t="n">
        <v>0.02669807454107426</v>
      </c>
    </row>
    <row r="139">
      <c r="A139" s="36" t="n">
        <v>44308</v>
      </c>
      <c r="B139" t="n">
        <v>0.02469243140750627</v>
      </c>
    </row>
    <row r="140">
      <c r="A140" s="36" t="n">
        <v>44309</v>
      </c>
      <c r="B140" t="n">
        <v>0.02748334655758483</v>
      </c>
    </row>
    <row r="141">
      <c r="A141" s="36" t="n">
        <v>44312</v>
      </c>
      <c r="B141" t="n">
        <v>0.03156285797300207</v>
      </c>
    </row>
    <row r="142">
      <c r="A142" s="36" t="n">
        <v>44313</v>
      </c>
      <c r="B142" t="n">
        <v>0.03145631097153045</v>
      </c>
    </row>
    <row r="143">
      <c r="A143" s="36" t="n">
        <v>44314</v>
      </c>
      <c r="B143" t="n">
        <v>0.03015165064128461</v>
      </c>
    </row>
    <row r="144">
      <c r="A144" s="36" t="n">
        <v>44315</v>
      </c>
      <c r="B144" t="n">
        <v>0.02963478264816616</v>
      </c>
    </row>
    <row r="145">
      <c r="A145" s="36" t="n">
        <v>44316</v>
      </c>
      <c r="B145" t="n">
        <v>0.02852640000833473</v>
      </c>
    </row>
    <row r="146">
      <c r="A146" s="36" t="n">
        <v>44319</v>
      </c>
      <c r="B146" t="n">
        <v>0.03179896906681406</v>
      </c>
    </row>
    <row r="147">
      <c r="A147" s="36" t="n">
        <v>44320</v>
      </c>
      <c r="B147" t="n">
        <v>0.03158964890912819</v>
      </c>
    </row>
    <row r="148">
      <c r="A148" s="36" t="n">
        <v>44321</v>
      </c>
      <c r="B148" t="n">
        <v>0.02787753126325104</v>
      </c>
    </row>
    <row r="149">
      <c r="A149" s="36" t="n">
        <v>44322</v>
      </c>
      <c r="B149" t="n">
        <v>0.03076834216537389</v>
      </c>
    </row>
    <row r="150">
      <c r="A150" s="36" t="n">
        <v>44323</v>
      </c>
      <c r="B150" t="n">
        <v>0.02905544615921579</v>
      </c>
    </row>
    <row r="151">
      <c r="A151" s="36" t="n">
        <v>44326</v>
      </c>
      <c r="B151" t="n">
        <v>0.02913040941077238</v>
      </c>
    </row>
    <row r="152">
      <c r="A152" s="36" t="n">
        <v>44327</v>
      </c>
      <c r="B152" t="n">
        <v>0.02891570335889354</v>
      </c>
    </row>
    <row r="153">
      <c r="A153" s="36" t="n">
        <v>44328</v>
      </c>
      <c r="B153" t="n">
        <v>0.02961154348139605</v>
      </c>
    </row>
    <row r="154">
      <c r="A154" s="36" t="n">
        <v>44329</v>
      </c>
      <c r="B154" t="n">
        <v>0.02970464430962527</v>
      </c>
    </row>
    <row r="155">
      <c r="A155" s="36" t="n">
        <v>44330</v>
      </c>
      <c r="B155" t="n">
        <v>0.02970882018100862</v>
      </c>
    </row>
    <row r="156">
      <c r="A156" s="36" t="n">
        <v>44333</v>
      </c>
      <c r="B156" t="n">
        <v>0.0289894082765576</v>
      </c>
    </row>
    <row r="157">
      <c r="A157" s="36" t="n">
        <v>44334</v>
      </c>
      <c r="B157" t="n">
        <v>0.02547891179172912</v>
      </c>
    </row>
    <row r="158">
      <c r="A158" s="36" t="n">
        <v>44335</v>
      </c>
      <c r="B158" t="n">
        <v>0.02346260329781563</v>
      </c>
    </row>
    <row r="159">
      <c r="A159" s="36" t="n">
        <v>44336</v>
      </c>
      <c r="B159" t="n">
        <v>0.02085115270738758</v>
      </c>
    </row>
    <row r="160">
      <c r="A160" s="36" t="n">
        <v>44337</v>
      </c>
      <c r="B160" t="n">
        <v>0.01903757883547558</v>
      </c>
    </row>
    <row r="161">
      <c r="A161" s="36" t="n">
        <v>44342</v>
      </c>
      <c r="B161" t="n">
        <v>0.01160062476745916</v>
      </c>
    </row>
    <row r="162">
      <c r="A162" s="36" t="n">
        <v>44343</v>
      </c>
      <c r="B162" t="n">
        <v>0.01489539988078648</v>
      </c>
    </row>
    <row r="163">
      <c r="A163" s="36" t="n">
        <v>44344</v>
      </c>
      <c r="B163" t="n">
        <v>0.0135813681533945</v>
      </c>
    </row>
    <row r="164">
      <c r="A164" s="36" t="n">
        <v>44347</v>
      </c>
      <c r="B164" t="n">
        <v>0.01385376059131599</v>
      </c>
    </row>
    <row r="165">
      <c r="A165" s="36" t="n">
        <v>44348</v>
      </c>
      <c r="B165" t="n">
        <v>0.01084656882681745</v>
      </c>
    </row>
    <row r="166">
      <c r="A166" s="36" t="n">
        <v>44349</v>
      </c>
      <c r="B166" t="n">
        <v>0.007841498029911242</v>
      </c>
    </row>
    <row r="167">
      <c r="A167" s="36" t="n">
        <v>44350</v>
      </c>
      <c r="B167" t="n">
        <v>0.01273156635424993</v>
      </c>
    </row>
    <row r="168">
      <c r="A168" s="36" t="n">
        <v>44351</v>
      </c>
      <c r="B168" t="n">
        <v>0.01072084659886785</v>
      </c>
    </row>
    <row r="169">
      <c r="A169" s="36" t="n">
        <v>44354</v>
      </c>
      <c r="B169" t="n">
        <v>0.008994053544844505</v>
      </c>
    </row>
    <row r="170">
      <c r="A170" s="36" t="n">
        <v>44355</v>
      </c>
      <c r="B170" t="n">
        <v>0.01228952038568387</v>
      </c>
    </row>
    <row r="171">
      <c r="A171" s="36" t="n">
        <v>44356</v>
      </c>
      <c r="B171" t="n">
        <v>0.01178408017493449</v>
      </c>
    </row>
    <row r="172">
      <c r="A172" s="36" t="n">
        <v>44357</v>
      </c>
      <c r="B172" t="n">
        <v>0.01197601391675268</v>
      </c>
    </row>
    <row r="173">
      <c r="A173" s="36" t="n">
        <v>44358</v>
      </c>
      <c r="B173" t="n">
        <v>0.01266924238682565</v>
      </c>
    </row>
    <row r="174">
      <c r="A174" s="36" t="n">
        <v>44361</v>
      </c>
      <c r="B174" t="n">
        <v>0.01173999588372088</v>
      </c>
    </row>
    <row r="175">
      <c r="A175" s="36" t="n">
        <v>44362</v>
      </c>
      <c r="B175" t="n">
        <v>0.0147297719119352</v>
      </c>
    </row>
    <row r="176">
      <c r="A176" s="36" t="n">
        <v>44363</v>
      </c>
      <c r="B176" t="n">
        <v>0.009718638758113796</v>
      </c>
    </row>
    <row r="177">
      <c r="A177" s="36" t="n">
        <v>44364</v>
      </c>
      <c r="B177" t="n">
        <v>0.01360852296950421</v>
      </c>
    </row>
    <row r="178">
      <c r="A178" s="36" t="n">
        <v>44365</v>
      </c>
      <c r="B178" t="n">
        <v>0.01329846283836261</v>
      </c>
    </row>
    <row r="179">
      <c r="A179" s="36" t="n">
        <v>44369</v>
      </c>
      <c r="B179" t="n">
        <v>0.01295813593218353</v>
      </c>
    </row>
    <row r="180">
      <c r="A180" s="36" t="n">
        <v>44370</v>
      </c>
      <c r="B180" t="n">
        <v>0.01214859353514547</v>
      </c>
    </row>
    <row r="181">
      <c r="A181" s="36" t="n">
        <v>44371</v>
      </c>
      <c r="B181" t="n">
        <v>0.01063782205617109</v>
      </c>
    </row>
    <row r="182">
      <c r="A182" s="36" t="n">
        <v>44372</v>
      </c>
      <c r="B182" t="n">
        <v>0.01262634195645479</v>
      </c>
    </row>
    <row r="183">
      <c r="A183" s="36" t="n">
        <v>44375</v>
      </c>
      <c r="B183" t="n">
        <v>0.01249870181522483</v>
      </c>
    </row>
    <row r="184">
      <c r="A184" s="36" t="n">
        <v>44376</v>
      </c>
      <c r="B184" t="n">
        <v>0.0137885237306814</v>
      </c>
    </row>
    <row r="185">
      <c r="A185" s="36" t="n">
        <v>44377</v>
      </c>
      <c r="B185" t="n">
        <v>0.0135788858206079</v>
      </c>
    </row>
    <row r="186">
      <c r="A186" s="36" t="n">
        <v>44378</v>
      </c>
      <c r="B186" t="n">
        <v>0.01006981167391735</v>
      </c>
    </row>
    <row r="187">
      <c r="A187" s="36" t="n">
        <v>44379</v>
      </c>
      <c r="B187" t="n">
        <v>0.00776144781093363</v>
      </c>
    </row>
    <row r="188">
      <c r="A188" s="36" t="n">
        <v>44382</v>
      </c>
      <c r="B188" t="n">
        <v>0.00743500978456535</v>
      </c>
    </row>
    <row r="189">
      <c r="A189" s="36" t="n">
        <v>44383</v>
      </c>
      <c r="B189" t="n">
        <v>0.009026201045214288</v>
      </c>
    </row>
    <row r="190">
      <c r="A190" s="36" t="n">
        <v>44384</v>
      </c>
      <c r="B190" t="n">
        <v>-0.000982937303985465</v>
      </c>
    </row>
    <row r="191">
      <c r="A191" s="36" t="n">
        <v>44385</v>
      </c>
      <c r="B191" t="n">
        <v>-0.00119148398398361</v>
      </c>
    </row>
    <row r="192">
      <c r="A192" s="36" t="n">
        <v>44389</v>
      </c>
      <c r="B192" t="n">
        <v>-0.001625727756677076</v>
      </c>
    </row>
    <row r="193">
      <c r="A193" s="36" t="n">
        <v>44390</v>
      </c>
      <c r="B193" t="n">
        <v>-0.004534502588763978</v>
      </c>
    </row>
    <row r="194">
      <c r="A194" s="36" t="n">
        <v>44391</v>
      </c>
      <c r="B194" t="n">
        <v>-0.004243551497520814</v>
      </c>
    </row>
    <row r="195">
      <c r="A195" s="36" t="n">
        <v>44392</v>
      </c>
      <c r="B195" t="n">
        <v>-0.006352173891591428</v>
      </c>
    </row>
    <row r="196">
      <c r="A196" s="36" t="n">
        <v>44393</v>
      </c>
      <c r="B196" t="n">
        <v>-0.008060877239426278</v>
      </c>
    </row>
    <row r="197">
      <c r="A197" s="36" t="inlineStr">
        <is>
          <t>24/09/2021</t>
        </is>
      </c>
      <c r="B197" t="n">
        <v>0.01138672038743616</v>
      </c>
    </row>
    <row r="198">
      <c r="A198" s="36" t="inlineStr">
        <is>
          <t>23/09/2021</t>
        </is>
      </c>
      <c r="B198" t="n">
        <v>0.01228227732425302</v>
      </c>
    </row>
    <row r="199">
      <c r="A199" s="36" t="inlineStr">
        <is>
          <t>22/09/2021</t>
        </is>
      </c>
      <c r="B199" t="n">
        <v>0.01168647202187617</v>
      </c>
    </row>
    <row r="200">
      <c r="A200" s="36" t="inlineStr">
        <is>
          <t>21/09/2021</t>
        </is>
      </c>
      <c r="B200" t="n">
        <v>0.009892880333885357</v>
      </c>
    </row>
    <row r="201">
      <c r="A201" s="36" t="inlineStr">
        <is>
          <t>20/09/2021</t>
        </is>
      </c>
      <c r="B201" t="n">
        <v>0.01309812267492011</v>
      </c>
    </row>
    <row r="202">
      <c r="A202" s="36" t="inlineStr">
        <is>
          <t>17/09/2021</t>
        </is>
      </c>
      <c r="B202" t="n">
        <v>0.008326381034794328</v>
      </c>
    </row>
    <row r="203">
      <c r="A203" s="36" t="inlineStr">
        <is>
          <t>16/09/2021</t>
        </is>
      </c>
      <c r="B203" t="n">
        <v>0.006334805682771782</v>
      </c>
    </row>
    <row r="204">
      <c r="A204" s="36" t="n">
        <v>44454</v>
      </c>
      <c r="B204" t="n">
        <v>0.002851747839208607</v>
      </c>
    </row>
    <row r="205">
      <c r="A205" s="36" t="n">
        <v>44453</v>
      </c>
      <c r="B205" t="n">
        <v>-0.001130608233513186</v>
      </c>
    </row>
    <row r="206">
      <c r="A206" s="36" t="n">
        <v>44452</v>
      </c>
      <c r="B206" t="n">
        <v>-0.001125162736489105</v>
      </c>
    </row>
    <row r="207">
      <c r="A207" s="36" t="n">
        <v>44449</v>
      </c>
      <c r="B207" t="n">
        <v>0.002412995100648962</v>
      </c>
    </row>
    <row r="208">
      <c r="A208" s="36" t="n">
        <v>44448</v>
      </c>
      <c r="B208" t="n">
        <v>-0.0025736767716249</v>
      </c>
    </row>
    <row r="209">
      <c r="A209" s="36" t="n">
        <v>44447</v>
      </c>
      <c r="B209" t="n">
        <v>-0.004065587595694531</v>
      </c>
    </row>
    <row r="210">
      <c r="A210" s="36" t="n">
        <v>44446</v>
      </c>
      <c r="B210" t="n">
        <v>-0.007558485179823549</v>
      </c>
    </row>
    <row r="211">
      <c r="A211" s="36" t="n">
        <v>44445</v>
      </c>
      <c r="B211" t="n">
        <v>-0.01054294072943102</v>
      </c>
    </row>
    <row r="212">
      <c r="A212" s="36" t="n">
        <v>44442</v>
      </c>
      <c r="B212" t="n">
        <v>-0.008014520524197821</v>
      </c>
    </row>
    <row r="213">
      <c r="A213" s="36" t="n">
        <v>44441</v>
      </c>
      <c r="B213" t="n">
        <v>-0.01050356118736862</v>
      </c>
    </row>
    <row r="214">
      <c r="A214" s="36" t="n">
        <v>44440</v>
      </c>
      <c r="B214" t="n">
        <v>-0.008088919653497617</v>
      </c>
    </row>
    <row r="215">
      <c r="A215" s="36" t="n">
        <v>44439</v>
      </c>
      <c r="B215" t="n">
        <v>-0.009274969266672428</v>
      </c>
    </row>
    <row r="216">
      <c r="A216" s="36" t="n">
        <v>44438</v>
      </c>
      <c r="B216" t="n">
        <v>-0.01186170083995242</v>
      </c>
    </row>
    <row r="217">
      <c r="A217" s="36" t="n">
        <v>44435</v>
      </c>
      <c r="B217" t="n">
        <v>-0.01142860354128544</v>
      </c>
    </row>
    <row r="218">
      <c r="A218" s="36" t="n">
        <v>44434</v>
      </c>
      <c r="B218" t="n">
        <v>-0.009618786565186332</v>
      </c>
    </row>
    <row r="219">
      <c r="A219" s="36" t="n">
        <v>44433</v>
      </c>
      <c r="B219" t="n">
        <v>-0.01011134414206788</v>
      </c>
    </row>
    <row r="220">
      <c r="A220" s="36" t="n">
        <v>44432</v>
      </c>
      <c r="B220" t="n">
        <v>-0.0109024785679035</v>
      </c>
    </row>
    <row r="221">
      <c r="A221" s="36" t="n">
        <v>44431</v>
      </c>
      <c r="B221" t="n">
        <v>-0.009891202104073127</v>
      </c>
    </row>
    <row r="222">
      <c r="A222" s="36" t="n">
        <v>44428</v>
      </c>
      <c r="B222" t="n">
        <v>-0.01026268496267535</v>
      </c>
    </row>
    <row r="223">
      <c r="A223" s="36" t="n">
        <v>44427</v>
      </c>
      <c r="B223" t="n">
        <v>-0.01135331713391402</v>
      </c>
    </row>
    <row r="224">
      <c r="A224" s="36" t="n">
        <v>44426</v>
      </c>
      <c r="B224" t="n">
        <v>-0.0168425203916327</v>
      </c>
    </row>
    <row r="225">
      <c r="A225" s="36" t="n">
        <v>44425</v>
      </c>
      <c r="B225" t="n">
        <v>-0.01693479479908128</v>
      </c>
    </row>
    <row r="226">
      <c r="A226" s="36" t="n">
        <v>44421</v>
      </c>
      <c r="B226" t="n">
        <v>-0.01630106889112543</v>
      </c>
    </row>
    <row r="227">
      <c r="A227" s="36" t="n">
        <v>44420</v>
      </c>
      <c r="B227" t="n">
        <v>-0.01409981578702263</v>
      </c>
    </row>
    <row r="228">
      <c r="A228" s="36" t="n">
        <v>44419</v>
      </c>
      <c r="B228" t="n">
        <v>-0.0118883312018403</v>
      </c>
    </row>
    <row r="229">
      <c r="A229" s="36" t="n">
        <v>44418</v>
      </c>
      <c r="B229" t="n">
        <v>-0.01267836532567562</v>
      </c>
    </row>
    <row r="230">
      <c r="A230" s="36" t="n">
        <v>44417</v>
      </c>
      <c r="B230" t="n">
        <v>-0.01306681101265222</v>
      </c>
    </row>
    <row r="231">
      <c r="A231" s="36" t="n">
        <v>44413</v>
      </c>
      <c r="B231" t="n">
        <v>-0.01173337347910469</v>
      </c>
    </row>
    <row r="232">
      <c r="A232" s="36" t="n">
        <v>44412</v>
      </c>
      <c r="B232" t="n">
        <v>-0.01422482577848044</v>
      </c>
    </row>
    <row r="233">
      <c r="A233" s="36" t="n">
        <v>44411</v>
      </c>
      <c r="B233" t="n">
        <v>-0.01741668988542733</v>
      </c>
    </row>
    <row r="234">
      <c r="A234" s="36" t="n">
        <v>44410</v>
      </c>
      <c r="B234" t="n">
        <v>-0.01600940861334893</v>
      </c>
    </row>
    <row r="235">
      <c r="A235" s="36" t="n">
        <v>44409</v>
      </c>
      <c r="B235" t="n">
        <v>-0.01570126407799682</v>
      </c>
    </row>
    <row r="236">
      <c r="A236" s="36" t="n">
        <v>44407</v>
      </c>
      <c r="B236" t="n">
        <v>-0.01698393229997319</v>
      </c>
    </row>
    <row r="237">
      <c r="A237" s="36" t="n">
        <v>44406</v>
      </c>
      <c r="B237" t="n">
        <v>-0.01607552818067576</v>
      </c>
    </row>
    <row r="238">
      <c r="A238" s="36" t="n">
        <v>44405</v>
      </c>
      <c r="B238" t="n">
        <v>-0.01486738126972048</v>
      </c>
    </row>
    <row r="239">
      <c r="A239" s="36" t="n">
        <v>44404</v>
      </c>
      <c r="B239" t="n">
        <v>-0.01365895249468929</v>
      </c>
    </row>
    <row r="240">
      <c r="A240" s="36" t="n">
        <v>44403</v>
      </c>
      <c r="B240" t="n">
        <v>-0.01405014389293852</v>
      </c>
    </row>
    <row r="241">
      <c r="A241" s="36" t="n">
        <v>44400</v>
      </c>
      <c r="B241" t="n">
        <v>-0.01602336222711004</v>
      </c>
    </row>
    <row r="242">
      <c r="A242" s="36" t="n">
        <v>44399</v>
      </c>
      <c r="B242" t="n">
        <v>-0.01361528407096935</v>
      </c>
    </row>
    <row r="243">
      <c r="A243" s="36" t="n">
        <v>44398</v>
      </c>
      <c r="B243" t="n">
        <v>-0.009606583736494867</v>
      </c>
    </row>
    <row r="244">
      <c r="A244" s="36" t="n">
        <v>44397</v>
      </c>
      <c r="B244" t="n">
        <v>-0.01209708338576082</v>
      </c>
    </row>
    <row r="245">
      <c r="A245" s="36" t="n">
        <v>44396</v>
      </c>
      <c r="B245" t="n">
        <v>-0.0105873531137442</v>
      </c>
    </row>
    <row r="246">
      <c r="A246" s="36" t="inlineStr">
        <is>
          <t>Total general</t>
        </is>
      </c>
      <c r="B246" t="n">
        <v>6.316481280404739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B254"/>
  <sheetViews>
    <sheetView workbookViewId="0">
      <selection activeCell="A1" sqref="A1"/>
    </sheetView>
  </sheetViews>
  <sheetFormatPr baseColWidth="10" defaultRowHeight="15"/>
  <cols>
    <col width="17.5703125" bestFit="1" customWidth="1" style="76" min="1" max="1"/>
    <col width="14.7109375" bestFit="1" customWidth="1" style="76" min="2" max="2"/>
  </cols>
  <sheetData>
    <row r="1">
      <c r="A1" s="35" t="inlineStr">
        <is>
          <t>Etiquetas de fila</t>
        </is>
      </c>
      <c r="B1" t="inlineStr">
        <is>
          <t>Suma de g30-30</t>
        </is>
      </c>
    </row>
    <row r="2">
      <c r="A2" s="44" t="inlineStr">
        <is>
          <t>16/09/2021</t>
        </is>
      </c>
      <c r="B2" t="n">
        <v>0.03065497166879355</v>
      </c>
    </row>
    <row r="3">
      <c r="A3" s="44" t="inlineStr">
        <is>
          <t>17/09/2021</t>
        </is>
      </c>
      <c r="B3" t="n">
        <v>0.02706039505867397</v>
      </c>
    </row>
    <row r="4">
      <c r="A4" s="44" t="inlineStr">
        <is>
          <t>20/09/2021</t>
        </is>
      </c>
      <c r="B4" t="n">
        <v>0.02117018208877591</v>
      </c>
    </row>
    <row r="5">
      <c r="A5" s="44" t="inlineStr">
        <is>
          <t>21/09/2021</t>
        </is>
      </c>
      <c r="B5" t="n">
        <v>0.01837506039099546</v>
      </c>
    </row>
    <row r="6">
      <c r="A6" s="44" t="inlineStr">
        <is>
          <t>22/09/2021</t>
        </is>
      </c>
      <c r="B6" t="n">
        <v>0.01667797938441112</v>
      </c>
    </row>
    <row r="7">
      <c r="A7" s="44" t="inlineStr">
        <is>
          <t>23/09/2021</t>
        </is>
      </c>
      <c r="B7" t="n">
        <v>0.01418175412607242</v>
      </c>
    </row>
    <row r="8">
      <c r="A8" s="44" t="inlineStr">
        <is>
          <t>24/09/2021</t>
        </is>
      </c>
      <c r="B8" t="n">
        <v>0.01198758676845818</v>
      </c>
    </row>
    <row r="9">
      <c r="A9" s="36" t="n">
        <v>44088</v>
      </c>
      <c r="B9" t="n">
        <v>-0.01925044610732435</v>
      </c>
    </row>
    <row r="10">
      <c r="A10" s="36" t="n">
        <v>44089</v>
      </c>
      <c r="B10" t="n">
        <v>-0.01134233483927921</v>
      </c>
    </row>
    <row r="11">
      <c r="A11" s="36" t="n">
        <v>44090</v>
      </c>
      <c r="B11" t="n">
        <v>0.0008902762689810273</v>
      </c>
    </row>
    <row r="12">
      <c r="A12" s="36" t="n">
        <v>44091</v>
      </c>
      <c r="B12" t="n">
        <v>-0.006998055004968085</v>
      </c>
    </row>
    <row r="13">
      <c r="A13" s="36" t="n">
        <v>44092</v>
      </c>
      <c r="B13" t="n">
        <v>-0.00260039572569537</v>
      </c>
    </row>
    <row r="14">
      <c r="A14" s="36" t="n">
        <v>44095</v>
      </c>
      <c r="B14" t="n">
        <v>-0.00418984595011257</v>
      </c>
    </row>
    <row r="15">
      <c r="A15" s="36" t="n">
        <v>44096</v>
      </c>
      <c r="B15" t="n">
        <v>-0.001082285063234711</v>
      </c>
    </row>
    <row r="16">
      <c r="A16" s="36" t="n">
        <v>44097</v>
      </c>
      <c r="B16" t="n">
        <v>-0.00299446945222942</v>
      </c>
    </row>
    <row r="17">
      <c r="A17" s="36" t="n">
        <v>44098</v>
      </c>
      <c r="B17" t="n">
        <v>-0.003488575468396926</v>
      </c>
    </row>
    <row r="18">
      <c r="A18" s="36" t="n">
        <v>44099</v>
      </c>
      <c r="B18" t="n">
        <v>0.0004196318229024443</v>
      </c>
    </row>
    <row r="19">
      <c r="A19" s="36" t="n">
        <v>44102</v>
      </c>
      <c r="B19" t="n">
        <v>-0.0009770551538943462</v>
      </c>
    </row>
    <row r="20">
      <c r="A20" s="36" t="n">
        <v>44103</v>
      </c>
      <c r="B20" t="n">
        <v>-0.002474467563176652</v>
      </c>
    </row>
    <row r="21">
      <c r="A21" s="36" t="n">
        <v>44104</v>
      </c>
      <c r="B21" t="n">
        <v>0.0006259891032864839</v>
      </c>
    </row>
    <row r="22">
      <c r="A22" s="36" t="n">
        <v>44105</v>
      </c>
      <c r="B22" t="n">
        <v>-0.003474666825374617</v>
      </c>
    </row>
    <row r="23">
      <c r="A23" s="36" t="n">
        <v>44106</v>
      </c>
      <c r="B23" t="n">
        <v>-0.003570392811345025</v>
      </c>
    </row>
    <row r="24">
      <c r="A24" s="36" t="n">
        <v>44109</v>
      </c>
      <c r="B24" t="n">
        <v>-0.009970690618634759</v>
      </c>
    </row>
    <row r="25">
      <c r="A25" s="36" t="n">
        <v>44110</v>
      </c>
      <c r="B25" t="n">
        <v>-0.004971768245524255</v>
      </c>
    </row>
    <row r="26">
      <c r="A26" s="36" t="n">
        <v>44111</v>
      </c>
      <c r="B26" t="n">
        <v>-0.00347564818537649</v>
      </c>
    </row>
    <row r="27">
      <c r="A27" s="36" t="n">
        <v>44112</v>
      </c>
      <c r="B27" t="n">
        <v>0.0005249347678337735</v>
      </c>
    </row>
    <row r="28">
      <c r="A28" s="36" t="n">
        <v>44113</v>
      </c>
      <c r="B28" t="n">
        <v>0.002424375124638833</v>
      </c>
    </row>
    <row r="29">
      <c r="A29" s="36" t="n">
        <v>44117</v>
      </c>
      <c r="B29" t="n">
        <v>0.002224270265864803</v>
      </c>
    </row>
    <row r="30">
      <c r="A30" s="36" t="n">
        <v>44118</v>
      </c>
      <c r="B30" t="n">
        <v>0.01002622367479733</v>
      </c>
    </row>
    <row r="31">
      <c r="A31" s="36" t="n">
        <v>44119</v>
      </c>
      <c r="B31" t="n">
        <v>0.0005281209584233615</v>
      </c>
    </row>
    <row r="32">
      <c r="A32" s="36" t="n">
        <v>44120</v>
      </c>
      <c r="B32" t="n">
        <v>0.0006303368494721129</v>
      </c>
    </row>
    <row r="33">
      <c r="A33" s="36" t="n">
        <v>44123</v>
      </c>
      <c r="B33" t="n">
        <v>0.004038712441283732</v>
      </c>
    </row>
    <row r="34">
      <c r="A34" s="36" t="n">
        <v>44124</v>
      </c>
      <c r="B34" t="n">
        <v>0.002759843580097399</v>
      </c>
    </row>
    <row r="35">
      <c r="A35" s="36" t="n">
        <v>44125</v>
      </c>
      <c r="B35" t="n">
        <v>0.002071427168780948</v>
      </c>
    </row>
    <row r="36">
      <c r="A36" s="36" t="n">
        <v>44126</v>
      </c>
      <c r="B36" t="n">
        <v>0.01357157751881172</v>
      </c>
    </row>
    <row r="37">
      <c r="A37" s="36" t="n">
        <v>44127</v>
      </c>
      <c r="B37" t="n">
        <v>0.02306934235198954</v>
      </c>
    </row>
    <row r="38">
      <c r="A38" s="36" t="n">
        <v>44130</v>
      </c>
      <c r="B38" t="n">
        <v>0.02228965536174771</v>
      </c>
    </row>
    <row r="39">
      <c r="A39" s="36" t="n">
        <v>44131</v>
      </c>
      <c r="B39" t="n">
        <v>0.01238092732921908</v>
      </c>
    </row>
    <row r="40">
      <c r="A40" s="36" t="n">
        <v>44132</v>
      </c>
      <c r="B40" t="n">
        <v>0.01658454297047901</v>
      </c>
    </row>
    <row r="41">
      <c r="A41" s="36" t="n">
        <v>44133</v>
      </c>
      <c r="B41" t="n">
        <v>0.007986803451783209</v>
      </c>
    </row>
    <row r="42">
      <c r="A42" s="36" t="n">
        <v>44134</v>
      </c>
      <c r="B42" t="n">
        <v>0.01759220125896666</v>
      </c>
    </row>
    <row r="43">
      <c r="A43" s="36" t="n">
        <v>44137</v>
      </c>
      <c r="B43" t="n">
        <v>0.0178856943181307</v>
      </c>
    </row>
    <row r="44">
      <c r="A44" s="36" t="n">
        <v>44138</v>
      </c>
      <c r="B44" t="n">
        <v>0.02728640105284391</v>
      </c>
    </row>
    <row r="45">
      <c r="A45" s="36" t="n">
        <v>44139</v>
      </c>
      <c r="B45" t="n">
        <v>0.02488672048907742</v>
      </c>
    </row>
    <row r="46">
      <c r="A46" s="36" t="n">
        <v>44140</v>
      </c>
      <c r="B46" t="n">
        <v>0.02619060103262921</v>
      </c>
    </row>
    <row r="47">
      <c r="A47" s="36" t="n">
        <v>44141</v>
      </c>
      <c r="B47" t="n">
        <v>0.02459076259722748</v>
      </c>
    </row>
    <row r="48">
      <c r="A48" s="36" t="n">
        <v>44144</v>
      </c>
      <c r="B48" t="n">
        <v>0.03248495689461384</v>
      </c>
    </row>
    <row r="49">
      <c r="A49" s="36" t="n">
        <v>44145</v>
      </c>
      <c r="B49" t="n">
        <v>0.03058476479899275</v>
      </c>
    </row>
    <row r="50">
      <c r="A50" s="36" t="n">
        <v>44146</v>
      </c>
      <c r="B50" t="n">
        <v>0.02657712205425994</v>
      </c>
    </row>
    <row r="51">
      <c r="A51" s="36" t="n">
        <v>44147</v>
      </c>
      <c r="B51" t="n">
        <v>0.02737396992373659</v>
      </c>
    </row>
    <row r="52">
      <c r="A52" s="36" t="n">
        <v>44148</v>
      </c>
      <c r="B52" t="n">
        <v>0.02556975369751041</v>
      </c>
    </row>
    <row r="53">
      <c r="A53" s="36" t="n">
        <v>44151</v>
      </c>
      <c r="B53" t="n">
        <v>0.025365722762694</v>
      </c>
    </row>
    <row r="54">
      <c r="A54" s="36" t="n">
        <v>44152</v>
      </c>
      <c r="B54" t="n">
        <v>0.01466927136402196</v>
      </c>
    </row>
    <row r="55">
      <c r="A55" s="36" t="n">
        <v>44153</v>
      </c>
      <c r="B55" t="n">
        <v>0.01627347452704608</v>
      </c>
    </row>
    <row r="56">
      <c r="A56" s="36" t="n">
        <v>44154</v>
      </c>
      <c r="B56" t="n">
        <v>0.0142772471947471</v>
      </c>
    </row>
    <row r="57">
      <c r="A57" s="36" t="n">
        <v>44155</v>
      </c>
      <c r="B57" t="n">
        <v>0.01758034353057508</v>
      </c>
    </row>
    <row r="58">
      <c r="A58" s="36" t="n">
        <v>44159</v>
      </c>
      <c r="B58" t="n">
        <v>0.02308066988260138</v>
      </c>
    </row>
    <row r="59">
      <c r="A59" s="36" t="n">
        <v>44160</v>
      </c>
      <c r="B59" t="n">
        <v>0.02357673091986673</v>
      </c>
    </row>
    <row r="60">
      <c r="A60" s="36" t="n">
        <v>44161</v>
      </c>
      <c r="B60" t="n">
        <v>0.02157935795715088</v>
      </c>
    </row>
    <row r="61">
      <c r="A61" s="36" t="n">
        <v>44162</v>
      </c>
      <c r="B61" t="n">
        <v>0.02437835486738094</v>
      </c>
    </row>
    <row r="62">
      <c r="A62" s="36" t="n">
        <v>44165</v>
      </c>
      <c r="B62" t="n">
        <v>0.02048354557458582</v>
      </c>
    </row>
    <row r="63">
      <c r="A63" s="36" t="n">
        <v>44166</v>
      </c>
      <c r="B63" t="n">
        <v>0.02158451866792677</v>
      </c>
    </row>
    <row r="64">
      <c r="A64" s="36" t="n">
        <v>44167</v>
      </c>
      <c r="B64" t="n">
        <v>0.01918338829783695</v>
      </c>
    </row>
    <row r="65">
      <c r="A65" s="36" t="n">
        <v>44168</v>
      </c>
      <c r="B65" t="n">
        <v>0.01618225094210785</v>
      </c>
    </row>
    <row r="66">
      <c r="A66" s="36" t="n">
        <v>44169</v>
      </c>
      <c r="B66" t="n">
        <v>0.01298576483672975</v>
      </c>
    </row>
    <row r="67">
      <c r="A67" s="36" t="n">
        <v>44174</v>
      </c>
      <c r="B67" t="n">
        <v>0.008381570189575638</v>
      </c>
    </row>
    <row r="68">
      <c r="A68" s="36" t="n">
        <v>44175</v>
      </c>
      <c r="B68" t="n">
        <v>0.00887553217307635</v>
      </c>
    </row>
    <row r="69">
      <c r="A69" s="36" t="n">
        <v>44176</v>
      </c>
      <c r="B69" t="n">
        <v>0.008973557317340675</v>
      </c>
    </row>
    <row r="70">
      <c r="A70" s="36" t="n">
        <v>44179</v>
      </c>
      <c r="B70" t="n">
        <v>0.01126756078440566</v>
      </c>
    </row>
    <row r="71">
      <c r="A71" s="36" t="n">
        <v>44180</v>
      </c>
      <c r="B71" t="n">
        <v>0.005872632326614835</v>
      </c>
    </row>
    <row r="72">
      <c r="A72" s="36" t="n">
        <v>44181</v>
      </c>
      <c r="B72" t="n">
        <v>0.009773866805371512</v>
      </c>
    </row>
    <row r="73">
      <c r="A73" s="36" t="n">
        <v>44182</v>
      </c>
      <c r="B73" t="n">
        <v>0.01127265326991256</v>
      </c>
    </row>
    <row r="74">
      <c r="A74" s="36" t="n">
        <v>44183</v>
      </c>
      <c r="B74" t="n">
        <v>0.0113685439242755</v>
      </c>
    </row>
    <row r="75">
      <c r="A75" s="36" t="n">
        <v>44186</v>
      </c>
      <c r="B75" t="n">
        <v>0.003665808900657985</v>
      </c>
    </row>
    <row r="76">
      <c r="A76" s="36" t="n">
        <v>44187</v>
      </c>
      <c r="B76" t="n">
        <v>0.004965622432910377</v>
      </c>
    </row>
    <row r="77">
      <c r="A77" s="36" t="n">
        <v>44188</v>
      </c>
      <c r="B77" t="n">
        <v>0.006366025896219929</v>
      </c>
    </row>
    <row r="78">
      <c r="A78" s="36" t="n">
        <v>44193</v>
      </c>
      <c r="B78" t="n">
        <v>0.009461709320558509</v>
      </c>
    </row>
    <row r="79">
      <c r="A79" s="36" t="n">
        <v>44194</v>
      </c>
      <c r="B79" t="n">
        <v>0.002164308653311575</v>
      </c>
    </row>
    <row r="80">
      <c r="A80" s="36" t="n">
        <v>44195</v>
      </c>
      <c r="B80" t="n">
        <v>0.006062607807088005</v>
      </c>
    </row>
    <row r="81">
      <c r="A81" s="36" t="n">
        <v>44200</v>
      </c>
      <c r="B81" t="n">
        <v>-0.0009303758794228512</v>
      </c>
    </row>
    <row r="82">
      <c r="A82" s="36" t="n">
        <v>44201</v>
      </c>
      <c r="B82" t="n">
        <v>-0.0002274851613884299</v>
      </c>
    </row>
    <row r="83">
      <c r="A83" s="36" t="n">
        <v>44202</v>
      </c>
      <c r="B83" t="n">
        <v>0.008070529902439449</v>
      </c>
    </row>
    <row r="84">
      <c r="A84" s="36" t="n">
        <v>44203</v>
      </c>
      <c r="B84" t="n">
        <v>0.01007547441266771</v>
      </c>
    </row>
    <row r="85">
      <c r="A85" s="36" t="n">
        <v>44204</v>
      </c>
      <c r="B85" t="n">
        <v>0.009176366629781108</v>
      </c>
    </row>
    <row r="86">
      <c r="A86" s="36" t="n">
        <v>44207</v>
      </c>
      <c r="B86" t="n">
        <v>0.01187995031380834</v>
      </c>
    </row>
    <row r="87">
      <c r="A87" s="36" t="n">
        <v>44208</v>
      </c>
      <c r="B87" t="n">
        <v>0.01267954958750189</v>
      </c>
    </row>
    <row r="88">
      <c r="A88" s="36" t="n">
        <v>44209</v>
      </c>
      <c r="B88" t="n">
        <v>0.003384378717505909</v>
      </c>
    </row>
    <row r="89">
      <c r="A89" s="36" t="n">
        <v>44210</v>
      </c>
      <c r="B89" t="n">
        <v>0.002087406985230245</v>
      </c>
    </row>
    <row r="90">
      <c r="A90" s="36" t="n">
        <v>44211</v>
      </c>
      <c r="B90" t="n">
        <v>0.003587345150853738</v>
      </c>
    </row>
    <row r="91">
      <c r="A91" s="36" t="n">
        <v>44214</v>
      </c>
      <c r="B91" t="n">
        <v>0.008383877168937015</v>
      </c>
    </row>
    <row r="92">
      <c r="A92" s="36" t="n">
        <v>44215</v>
      </c>
      <c r="B92" t="n">
        <v>0.01118262381587448</v>
      </c>
    </row>
    <row r="93">
      <c r="A93" s="36" t="n">
        <v>44216</v>
      </c>
      <c r="B93" t="n">
        <v>0.0133820635364244</v>
      </c>
    </row>
    <row r="94">
      <c r="A94" s="36" t="n">
        <v>44217</v>
      </c>
      <c r="B94" t="n">
        <v>0.011683370506196</v>
      </c>
    </row>
    <row r="95">
      <c r="A95" s="36" t="n">
        <v>44218</v>
      </c>
      <c r="B95" t="n">
        <v>0.0176804155317451</v>
      </c>
    </row>
    <row r="96">
      <c r="A96" s="36" t="n">
        <v>44221</v>
      </c>
      <c r="B96" t="n">
        <v>0.01768129991340534</v>
      </c>
    </row>
    <row r="97">
      <c r="A97" s="36" t="n">
        <v>44222</v>
      </c>
      <c r="B97" t="n">
        <v>0.01778129699113767</v>
      </c>
    </row>
    <row r="98">
      <c r="A98" s="36" t="n">
        <v>44223</v>
      </c>
      <c r="B98" t="n">
        <v>0.01828257849825959</v>
      </c>
    </row>
    <row r="99">
      <c r="A99" s="36" t="n">
        <v>44224</v>
      </c>
      <c r="B99" t="n">
        <v>0.0172847226210896</v>
      </c>
    </row>
    <row r="100">
      <c r="A100" s="36" t="n">
        <v>44225</v>
      </c>
      <c r="B100" t="n">
        <v>0.01858538202551308</v>
      </c>
    </row>
    <row r="101">
      <c r="A101" s="36" t="n">
        <v>44228</v>
      </c>
      <c r="B101" t="n">
        <v>0.02268359303837697</v>
      </c>
    </row>
    <row r="102">
      <c r="A102" s="36" t="n">
        <v>44229</v>
      </c>
      <c r="B102" t="n">
        <v>0.01928657134544542</v>
      </c>
    </row>
    <row r="103">
      <c r="A103" s="36" t="n">
        <v>44230</v>
      </c>
      <c r="B103" t="n">
        <v>0.01788926181624745</v>
      </c>
    </row>
    <row r="104">
      <c r="A104" s="36" t="n">
        <v>44231</v>
      </c>
      <c r="B104" t="n">
        <v>0.02038936190953294</v>
      </c>
    </row>
    <row r="105">
      <c r="A105" s="36" t="n">
        <v>44232</v>
      </c>
      <c r="B105" t="n">
        <v>0.02318801072516541</v>
      </c>
    </row>
    <row r="106">
      <c r="A106" s="36" t="n">
        <v>44235</v>
      </c>
      <c r="B106" t="n">
        <v>0.02288762150995799</v>
      </c>
    </row>
    <row r="107">
      <c r="A107" s="36" t="n">
        <v>44236</v>
      </c>
      <c r="B107" t="n">
        <v>0.02328870557220708</v>
      </c>
    </row>
    <row r="108">
      <c r="A108" s="36" t="n">
        <v>44237</v>
      </c>
      <c r="B108" t="n">
        <v>0.02169025205109149</v>
      </c>
    </row>
    <row r="109">
      <c r="A109" s="36" t="n">
        <v>44238</v>
      </c>
      <c r="B109" t="n">
        <v>0.02529285403023779</v>
      </c>
    </row>
    <row r="110">
      <c r="A110" s="36" t="n">
        <v>44239</v>
      </c>
      <c r="B110" t="n">
        <v>0.03309436200641191</v>
      </c>
    </row>
    <row r="111">
      <c r="A111" s="36" t="n">
        <v>44244</v>
      </c>
      <c r="B111" t="n">
        <v>0.03049858811096562</v>
      </c>
    </row>
    <row r="112">
      <c r="A112" s="36" t="n">
        <v>44245</v>
      </c>
      <c r="B112" t="n">
        <v>0.02259657924589475</v>
      </c>
    </row>
    <row r="113">
      <c r="A113" s="36" t="n">
        <v>44246</v>
      </c>
      <c r="B113" t="n">
        <v>0.02370180780008796</v>
      </c>
    </row>
    <row r="114">
      <c r="A114" s="36" t="n">
        <v>44249</v>
      </c>
      <c r="B114" t="n">
        <v>0.02030188315091069</v>
      </c>
    </row>
    <row r="115">
      <c r="A115" s="36" t="n">
        <v>44250</v>
      </c>
      <c r="B115" t="n">
        <v>0.02000836268396455</v>
      </c>
    </row>
    <row r="116">
      <c r="A116" s="36" t="n">
        <v>44251</v>
      </c>
      <c r="B116" t="n">
        <v>0.01990485245326851</v>
      </c>
    </row>
    <row r="117">
      <c r="A117" s="36" t="n">
        <v>44252</v>
      </c>
      <c r="B117" t="n">
        <v>0.01500359746816349</v>
      </c>
    </row>
    <row r="118">
      <c r="A118" s="36" t="n">
        <v>44253</v>
      </c>
      <c r="B118" t="n">
        <v>0.008104436843005103</v>
      </c>
    </row>
    <row r="119">
      <c r="A119" s="36" t="n">
        <v>44256</v>
      </c>
      <c r="B119" t="n">
        <v>0.009703371948635409</v>
      </c>
    </row>
    <row r="120">
      <c r="A120" s="36" t="n">
        <v>44257</v>
      </c>
      <c r="B120" t="n">
        <v>0.006310647434751626</v>
      </c>
    </row>
    <row r="121">
      <c r="A121" s="36" t="n">
        <v>44258</v>
      </c>
      <c r="B121" t="n">
        <v>0.007410684980279469</v>
      </c>
    </row>
    <row r="122">
      <c r="A122" s="36" t="n">
        <v>44259</v>
      </c>
      <c r="B122" t="n">
        <v>0.005610090005070512</v>
      </c>
    </row>
    <row r="123">
      <c r="A123" s="36" t="n">
        <v>44260</v>
      </c>
      <c r="B123" t="n">
        <v>0.002918459455716615</v>
      </c>
    </row>
    <row r="124">
      <c r="A124" s="36" t="n">
        <v>44263</v>
      </c>
      <c r="B124" t="n">
        <v>0.003418644096117474</v>
      </c>
    </row>
    <row r="125">
      <c r="A125" s="36" t="n">
        <v>44264</v>
      </c>
      <c r="B125" t="n">
        <v>0.0008262504533231296</v>
      </c>
    </row>
    <row r="126">
      <c r="A126" s="36" t="n">
        <v>44265</v>
      </c>
      <c r="B126" t="n">
        <v>0.00843863367743497</v>
      </c>
    </row>
    <row r="127">
      <c r="A127" s="36" t="n">
        <v>44266</v>
      </c>
      <c r="B127" t="n">
        <v>0.01103691533463397</v>
      </c>
    </row>
    <row r="128">
      <c r="A128" s="36" t="n">
        <v>44267</v>
      </c>
      <c r="B128" t="n">
        <v>0.008828976715464287</v>
      </c>
    </row>
    <row r="129">
      <c r="A129" s="36" t="n">
        <v>44270</v>
      </c>
      <c r="B129" t="n">
        <v>0.009522375303429642</v>
      </c>
    </row>
    <row r="130">
      <c r="A130" s="36" t="n">
        <v>44271</v>
      </c>
      <c r="B130" t="n">
        <v>0.008618274657168523</v>
      </c>
    </row>
    <row r="131">
      <c r="A131" s="36" t="n">
        <v>44272</v>
      </c>
      <c r="B131" t="n">
        <v>0.01041279365655084</v>
      </c>
    </row>
    <row r="132">
      <c r="A132" s="36" t="n">
        <v>44273</v>
      </c>
      <c r="B132" t="n">
        <v>0.007514502242087384</v>
      </c>
    </row>
    <row r="133">
      <c r="A133" s="36" t="n">
        <v>44274</v>
      </c>
      <c r="B133" t="n">
        <v>0.009911790201354909</v>
      </c>
    </row>
    <row r="134">
      <c r="A134" s="36" t="n">
        <v>44277</v>
      </c>
      <c r="B134" t="n">
        <v>0.0110057352675505</v>
      </c>
    </row>
    <row r="135">
      <c r="A135" s="36" t="n">
        <v>44278</v>
      </c>
      <c r="B135" t="n">
        <v>0.01041046504820398</v>
      </c>
    </row>
    <row r="136">
      <c r="A136" s="36" t="n">
        <v>44280</v>
      </c>
      <c r="B136" t="n">
        <v>0.009318274996963138</v>
      </c>
    </row>
    <row r="137">
      <c r="A137" s="36" t="n">
        <v>44281</v>
      </c>
      <c r="B137" t="n">
        <v>0.008518911769866522</v>
      </c>
    </row>
    <row r="138">
      <c r="A138" s="36" t="n">
        <v>44284</v>
      </c>
      <c r="B138" t="n">
        <v>0.009425085704516445</v>
      </c>
    </row>
    <row r="139">
      <c r="A139" s="36" t="n">
        <v>44285</v>
      </c>
      <c r="B139" t="n">
        <v>0.00763037490109203</v>
      </c>
    </row>
    <row r="140">
      <c r="A140" s="36" t="n">
        <v>44286</v>
      </c>
      <c r="B140" t="n">
        <v>0.009231747163489901</v>
      </c>
    </row>
    <row r="141">
      <c r="A141" s="36" t="n">
        <v>44291</v>
      </c>
      <c r="B141" t="n">
        <v>0.004626490221883661</v>
      </c>
    </row>
    <row r="142">
      <c r="A142" s="36" t="n">
        <v>44292</v>
      </c>
      <c r="B142" t="n">
        <v>0.007326814514019897</v>
      </c>
    </row>
    <row r="143">
      <c r="A143" s="36" t="n">
        <v>44293</v>
      </c>
      <c r="B143" t="n">
        <v>0.006827798715236477</v>
      </c>
    </row>
    <row r="144">
      <c r="A144" s="36" t="n">
        <v>44294</v>
      </c>
      <c r="B144" t="n">
        <v>0.009527672492032679</v>
      </c>
    </row>
    <row r="145">
      <c r="A145" s="36" t="n">
        <v>44295</v>
      </c>
      <c r="B145" t="n">
        <v>0.009330019500951026</v>
      </c>
    </row>
    <row r="146">
      <c r="A146" s="36" t="n">
        <v>44298</v>
      </c>
      <c r="B146" t="n">
        <v>0.01232266091737583</v>
      </c>
    </row>
    <row r="147">
      <c r="A147" s="36" t="n">
        <v>44299</v>
      </c>
      <c r="B147" t="n">
        <v>0.01531852670602113</v>
      </c>
    </row>
    <row r="148">
      <c r="A148" s="36" t="n">
        <v>44300</v>
      </c>
      <c r="B148" t="n">
        <v>0.01492143502182497</v>
      </c>
    </row>
    <row r="149">
      <c r="A149" s="36" t="n">
        <v>44301</v>
      </c>
      <c r="B149" t="n">
        <v>0.01692324094069386</v>
      </c>
    </row>
    <row r="150">
      <c r="A150" s="36" t="n">
        <v>44302</v>
      </c>
      <c r="B150" t="n">
        <v>0.0216200799802882</v>
      </c>
    </row>
    <row r="151">
      <c r="A151" s="36" t="n">
        <v>44305</v>
      </c>
      <c r="B151" t="n">
        <v>0.02081868478471727</v>
      </c>
    </row>
    <row r="152">
      <c r="A152" s="36" t="n">
        <v>44306</v>
      </c>
      <c r="B152" t="n">
        <v>0.01902119869449292</v>
      </c>
    </row>
    <row r="153">
      <c r="A153" s="36" t="n">
        <v>44307</v>
      </c>
      <c r="B153" t="n">
        <v>0.02241749226778011</v>
      </c>
    </row>
    <row r="154">
      <c r="A154" s="36" t="n">
        <v>44308</v>
      </c>
      <c r="B154" t="n">
        <v>0.02291680764327797</v>
      </c>
    </row>
    <row r="155">
      <c r="A155" s="36" t="n">
        <v>44309</v>
      </c>
      <c r="B155" t="n">
        <v>0.024017445048791</v>
      </c>
    </row>
    <row r="156">
      <c r="A156" s="36" t="n">
        <v>44312</v>
      </c>
      <c r="B156" t="n">
        <v>0.0194140201707203</v>
      </c>
    </row>
    <row r="157">
      <c r="A157" s="36" t="n">
        <v>44313</v>
      </c>
      <c r="B157" t="n">
        <v>0.01851065290985948</v>
      </c>
    </row>
    <row r="158">
      <c r="A158" s="36" t="n">
        <v>44314</v>
      </c>
      <c r="B158" t="n">
        <v>0.01571181014233863</v>
      </c>
    </row>
    <row r="159">
      <c r="A159" s="36" t="n">
        <v>44315</v>
      </c>
      <c r="B159" t="n">
        <v>0.01481376694529396</v>
      </c>
    </row>
    <row r="160">
      <c r="A160" s="36" t="n">
        <v>44316</v>
      </c>
      <c r="B160" t="n">
        <v>0.02011010766683746</v>
      </c>
    </row>
    <row r="161">
      <c r="A161" s="36" t="n">
        <v>44319</v>
      </c>
      <c r="B161" t="n">
        <v>0.01851102326035109</v>
      </c>
    </row>
    <row r="162">
      <c r="A162" s="36" t="n">
        <v>44320</v>
      </c>
      <c r="B162" t="n">
        <v>0.01891126382879321</v>
      </c>
    </row>
    <row r="163">
      <c r="A163" s="36" t="n">
        <v>44321</v>
      </c>
      <c r="B163" t="n">
        <v>0.01741330669341229</v>
      </c>
    </row>
    <row r="164">
      <c r="A164" s="36" t="n">
        <v>44322</v>
      </c>
      <c r="B164" t="n">
        <v>0.0172162813871633</v>
      </c>
    </row>
    <row r="165">
      <c r="A165" s="36" t="n">
        <v>44323</v>
      </c>
      <c r="B165" t="n">
        <v>0.0198190128692089</v>
      </c>
    </row>
    <row r="166">
      <c r="A166" s="36" t="n">
        <v>44326</v>
      </c>
      <c r="B166" t="n">
        <v>0.02041723895010361</v>
      </c>
    </row>
    <row r="167">
      <c r="A167" s="36" t="n">
        <v>44327</v>
      </c>
      <c r="B167" t="n">
        <v>0.0204233238274294</v>
      </c>
    </row>
    <row r="168">
      <c r="A168" s="36" t="n">
        <v>44328</v>
      </c>
      <c r="B168" t="n">
        <v>0.02251836768432025</v>
      </c>
    </row>
    <row r="169">
      <c r="A169" s="36" t="n">
        <v>44329</v>
      </c>
      <c r="B169" t="n">
        <v>0.02191764426086057</v>
      </c>
    </row>
    <row r="170">
      <c r="A170" s="36" t="n">
        <v>44330</v>
      </c>
      <c r="B170" t="n">
        <v>0.02320721062593611</v>
      </c>
    </row>
    <row r="171">
      <c r="A171" s="36" t="n">
        <v>44333</v>
      </c>
      <c r="B171" t="n">
        <v>0.02639769076186482</v>
      </c>
    </row>
    <row r="172">
      <c r="A172" s="36" t="n">
        <v>44334</v>
      </c>
      <c r="B172" t="n">
        <v>0.02639760173590971</v>
      </c>
    </row>
    <row r="173">
      <c r="A173" s="36" t="n">
        <v>44335</v>
      </c>
      <c r="B173" t="n">
        <v>0.027902867006456</v>
      </c>
    </row>
    <row r="174">
      <c r="A174" s="36" t="n">
        <v>44336</v>
      </c>
      <c r="B174" t="n">
        <v>0.03170246881150984</v>
      </c>
    </row>
    <row r="175">
      <c r="A175" s="36" t="n">
        <v>44337</v>
      </c>
      <c r="B175" t="n">
        <v>0.03060737526364471</v>
      </c>
    </row>
    <row r="176">
      <c r="A176" s="36" t="n">
        <v>44342</v>
      </c>
      <c r="B176" t="n">
        <v>0.0325938988386737</v>
      </c>
    </row>
    <row r="177">
      <c r="A177" s="36" t="n">
        <v>44343</v>
      </c>
      <c r="B177" t="n">
        <v>0.03009384473296051</v>
      </c>
    </row>
    <row r="178">
      <c r="A178" s="36" t="n">
        <v>44344</v>
      </c>
      <c r="B178" t="n">
        <v>0.03159565616320115</v>
      </c>
    </row>
    <row r="179">
      <c r="A179" s="36" t="n">
        <v>44347</v>
      </c>
      <c r="B179" t="n">
        <v>0.03239512432775393</v>
      </c>
    </row>
    <row r="180">
      <c r="A180" s="36" t="n">
        <v>44348</v>
      </c>
      <c r="B180" t="n">
        <v>0.03159257690169742</v>
      </c>
    </row>
    <row r="181">
      <c r="A181" s="36" t="n">
        <v>44349</v>
      </c>
      <c r="B181" t="n">
        <v>0.03168495119034137</v>
      </c>
    </row>
    <row r="182">
      <c r="A182" s="36" t="n">
        <v>44350</v>
      </c>
      <c r="B182" t="n">
        <v>0.0276912459551224</v>
      </c>
    </row>
    <row r="183">
      <c r="A183" s="36" t="n">
        <v>44351</v>
      </c>
      <c r="B183" t="n">
        <v>0.03228894594962645</v>
      </c>
    </row>
    <row r="184">
      <c r="A184" s="36" t="n">
        <v>44354</v>
      </c>
      <c r="B184" t="n">
        <v>0.02988400631809768</v>
      </c>
    </row>
    <row r="185">
      <c r="A185" s="36" t="n">
        <v>44355</v>
      </c>
      <c r="B185" t="n">
        <v>0.02897924864622292</v>
      </c>
    </row>
    <row r="186">
      <c r="A186" s="36" t="n">
        <v>44356</v>
      </c>
      <c r="B186" t="n">
        <v>0.02777361778945109</v>
      </c>
    </row>
    <row r="187">
      <c r="A187" s="36" t="n">
        <v>44357</v>
      </c>
      <c r="B187" t="n">
        <v>0.02447330243416485</v>
      </c>
    </row>
    <row r="188">
      <c r="A188" s="36" t="n">
        <v>44358</v>
      </c>
      <c r="B188" t="n">
        <v>0.02257155286278217</v>
      </c>
    </row>
    <row r="189">
      <c r="A189" s="36" t="n">
        <v>44361</v>
      </c>
      <c r="B189" t="n">
        <v>0.02277113034842665</v>
      </c>
    </row>
    <row r="190">
      <c r="A190" s="36" t="n">
        <v>44362</v>
      </c>
      <c r="B190" t="n">
        <v>0.02227408874090248</v>
      </c>
    </row>
    <row r="191">
      <c r="A191" s="36" t="n">
        <v>44363</v>
      </c>
      <c r="B191" t="n">
        <v>0.02077654746967822</v>
      </c>
    </row>
    <row r="192">
      <c r="A192" s="36" t="n">
        <v>44364</v>
      </c>
      <c r="B192" t="n">
        <v>0.02108074308138219</v>
      </c>
    </row>
    <row r="193">
      <c r="A193" s="36" t="n">
        <v>44365</v>
      </c>
      <c r="B193" t="n">
        <v>0.02368054112041762</v>
      </c>
    </row>
    <row r="194">
      <c r="A194" s="36" t="n">
        <v>44369</v>
      </c>
      <c r="B194" t="n">
        <v>0.02059022414167627</v>
      </c>
    </row>
    <row r="195">
      <c r="A195" s="36" t="n">
        <v>44370</v>
      </c>
      <c r="B195" t="n">
        <v>0.02338850538452847</v>
      </c>
    </row>
    <row r="196">
      <c r="A196" s="36" t="n">
        <v>44371</v>
      </c>
      <c r="B196" t="n">
        <v>0.02409344760200754</v>
      </c>
    </row>
    <row r="197">
      <c r="A197" s="36" t="n">
        <v>44372</v>
      </c>
      <c r="B197" t="n">
        <v>0.02480336986883891</v>
      </c>
    </row>
    <row r="198">
      <c r="A198" s="36" t="n">
        <v>44375</v>
      </c>
      <c r="B198" t="n">
        <v>0.02640296726993602</v>
      </c>
    </row>
    <row r="199">
      <c r="A199" s="36" t="n">
        <v>44376</v>
      </c>
      <c r="B199" t="n">
        <v>0.03210445218734909</v>
      </c>
    </row>
    <row r="200">
      <c r="A200" s="36" t="n">
        <v>44377</v>
      </c>
      <c r="B200" t="n">
        <v>0.03620245485974494</v>
      </c>
    </row>
    <row r="201">
      <c r="A201" s="36" t="n">
        <v>44378</v>
      </c>
      <c r="B201" t="n">
        <v>0.0370028844456638</v>
      </c>
    </row>
    <row r="202">
      <c r="A202" s="36" t="n">
        <v>44379</v>
      </c>
      <c r="B202" t="n">
        <v>0.03120601385811322</v>
      </c>
    </row>
    <row r="203">
      <c r="A203" s="36" t="n">
        <v>44382</v>
      </c>
      <c r="B203" t="n">
        <v>0.03610332516143322</v>
      </c>
    </row>
    <row r="204">
      <c r="A204" s="36" t="n">
        <v>44383</v>
      </c>
      <c r="B204" t="n">
        <v>0.03210772210189139</v>
      </c>
    </row>
    <row r="205">
      <c r="A205" s="36" t="n">
        <v>44384</v>
      </c>
      <c r="B205" t="n">
        <v>0.03210771953957187</v>
      </c>
    </row>
    <row r="206">
      <c r="A206" s="36" t="n">
        <v>44385</v>
      </c>
      <c r="B206" t="n">
        <v>0.02950929886019993</v>
      </c>
    </row>
    <row r="207">
      <c r="A207" s="36" t="n">
        <v>44389</v>
      </c>
      <c r="B207" t="n">
        <v>0.02770626722760122</v>
      </c>
    </row>
    <row r="208">
      <c r="A208" s="36" t="n">
        <v>44390</v>
      </c>
      <c r="B208" t="n">
        <v>0.02620290672244469</v>
      </c>
    </row>
    <row r="209">
      <c r="A209" s="36" t="n">
        <v>44391</v>
      </c>
      <c r="B209" t="n">
        <v>0.02569975150991982</v>
      </c>
    </row>
    <row r="210">
      <c r="A210" s="36" t="n">
        <v>44392</v>
      </c>
      <c r="B210" t="n">
        <v>0.022201327494487</v>
      </c>
    </row>
    <row r="211">
      <c r="A211" s="36" t="n">
        <v>44393</v>
      </c>
      <c r="B211" t="n">
        <v>0.02179871729431954</v>
      </c>
    </row>
    <row r="212">
      <c r="A212" s="36" t="n">
        <v>44396</v>
      </c>
      <c r="B212" t="n">
        <v>0.02149596266010262</v>
      </c>
    </row>
    <row r="213">
      <c r="A213" s="36" t="n">
        <v>44397</v>
      </c>
      <c r="B213" t="n">
        <v>0.01999382605470951</v>
      </c>
    </row>
    <row r="214">
      <c r="A214" s="36" t="n">
        <v>44398</v>
      </c>
      <c r="B214" t="n">
        <v>0.02029204995477024</v>
      </c>
    </row>
    <row r="215">
      <c r="A215" s="36" t="n">
        <v>44399</v>
      </c>
      <c r="B215" t="n">
        <v>0.02238987356340155</v>
      </c>
    </row>
    <row r="216">
      <c r="A216" s="36" t="n">
        <v>44400</v>
      </c>
      <c r="B216" t="n">
        <v>0.0262856877712499</v>
      </c>
    </row>
    <row r="217">
      <c r="A217" s="36" t="n">
        <v>44403</v>
      </c>
      <c r="B217" t="n">
        <v>0.02338930217388474</v>
      </c>
    </row>
    <row r="218">
      <c r="A218" s="36" t="n">
        <v>44404</v>
      </c>
      <c r="B218" t="n">
        <v>0.02458893743315077</v>
      </c>
    </row>
    <row r="219">
      <c r="A219" s="36" t="n">
        <v>44405</v>
      </c>
      <c r="B219" t="n">
        <v>0.02638799524914859</v>
      </c>
    </row>
    <row r="220">
      <c r="A220" s="36" t="n">
        <v>44406</v>
      </c>
      <c r="B220" t="n">
        <v>0.02728795068656598</v>
      </c>
    </row>
    <row r="221">
      <c r="A221" s="36" t="n">
        <v>44407</v>
      </c>
      <c r="B221" t="n">
        <v>0.02908624468998994</v>
      </c>
    </row>
    <row r="222">
      <c r="A222" s="36" t="n">
        <v>44409</v>
      </c>
      <c r="B222" t="n">
        <v>0.03178392701475258</v>
      </c>
    </row>
    <row r="223">
      <c r="A223" s="36" t="n">
        <v>44410</v>
      </c>
      <c r="B223" t="n">
        <v>0.03328412044918388</v>
      </c>
    </row>
    <row r="224">
      <c r="A224" s="36" t="n">
        <v>44411</v>
      </c>
      <c r="B224" t="n">
        <v>0.0333858018964458</v>
      </c>
    </row>
    <row r="225">
      <c r="A225" s="36" t="n">
        <v>44412</v>
      </c>
      <c r="B225" t="n">
        <v>0.03468652753181034</v>
      </c>
    </row>
    <row r="226">
      <c r="A226" s="36" t="n">
        <v>44413</v>
      </c>
      <c r="B226" t="n">
        <v>0.03388966508860713</v>
      </c>
    </row>
    <row r="227">
      <c r="A227" s="36" t="n">
        <v>44417</v>
      </c>
      <c r="B227" t="n">
        <v>0.03189016097817382</v>
      </c>
    </row>
    <row r="228">
      <c r="A228" s="36" t="n">
        <v>44418</v>
      </c>
      <c r="B228" t="n">
        <v>0.03298611560432341</v>
      </c>
    </row>
    <row r="229">
      <c r="A229" s="36" t="n">
        <v>44419</v>
      </c>
      <c r="B229" t="n">
        <v>0.0312860901279019</v>
      </c>
    </row>
    <row r="230">
      <c r="A230" s="36" t="n">
        <v>44420</v>
      </c>
      <c r="B230" t="n">
        <v>0.0341809815748374</v>
      </c>
    </row>
    <row r="231">
      <c r="A231" s="36" t="n">
        <v>44421</v>
      </c>
      <c r="B231" t="n">
        <v>0.0363842071804274</v>
      </c>
    </row>
    <row r="232">
      <c r="A232" s="36" t="n">
        <v>44425</v>
      </c>
      <c r="B232" t="n">
        <v>0.03088868989214694</v>
      </c>
    </row>
    <row r="233">
      <c r="A233" s="36" t="n">
        <v>44426</v>
      </c>
      <c r="B233" t="n">
        <v>0.03099016216071104</v>
      </c>
    </row>
    <row r="234">
      <c r="A234" s="36" t="n">
        <v>44427</v>
      </c>
      <c r="B234" t="n">
        <v>0.02609435009835981</v>
      </c>
    </row>
    <row r="235">
      <c r="A235" s="36" t="n">
        <v>44428</v>
      </c>
      <c r="B235" t="n">
        <v>0.0267933132808843</v>
      </c>
    </row>
    <row r="236">
      <c r="A236" s="36" t="n">
        <v>44431</v>
      </c>
      <c r="B236" t="n">
        <v>0.03448379826754167</v>
      </c>
    </row>
    <row r="237">
      <c r="A237" s="36" t="n">
        <v>44432</v>
      </c>
      <c r="B237" t="n">
        <v>0.04157365773304617</v>
      </c>
    </row>
    <row r="238">
      <c r="A238" s="36" t="n">
        <v>44433</v>
      </c>
      <c r="B238" t="n">
        <v>0.04077470573928693</v>
      </c>
    </row>
    <row r="239">
      <c r="A239" s="36" t="n">
        <v>44434</v>
      </c>
      <c r="B239" t="n">
        <v>0.03837697633270593</v>
      </c>
    </row>
    <row r="240">
      <c r="A240" s="36" t="n">
        <v>44435</v>
      </c>
      <c r="B240" t="n">
        <v>0.03927351486293029</v>
      </c>
    </row>
    <row r="241">
      <c r="A241" s="36" t="n">
        <v>44438</v>
      </c>
      <c r="B241" t="n">
        <v>0.0414663631934164</v>
      </c>
    </row>
    <row r="242">
      <c r="A242" s="36" t="n">
        <v>44439</v>
      </c>
      <c r="B242" t="n">
        <v>0.03966527716190094</v>
      </c>
    </row>
    <row r="243">
      <c r="A243" s="36" t="n">
        <v>44440</v>
      </c>
      <c r="B243" t="n">
        <v>0.03756171463976427</v>
      </c>
    </row>
    <row r="244">
      <c r="A244" s="36" t="n">
        <v>44441</v>
      </c>
      <c r="B244" t="n">
        <v>0.0344593089765492</v>
      </c>
    </row>
    <row r="245">
      <c r="A245" s="36" t="n">
        <v>44442</v>
      </c>
      <c r="B245" t="n">
        <v>0.0325598748198303</v>
      </c>
    </row>
    <row r="246">
      <c r="A246" s="36" t="n">
        <v>44445</v>
      </c>
      <c r="B246" t="n">
        <v>0.03585389575142389</v>
      </c>
    </row>
    <row r="247">
      <c r="A247" s="36" t="n">
        <v>44446</v>
      </c>
      <c r="B247" t="n">
        <v>0.03325611076710477</v>
      </c>
    </row>
    <row r="248">
      <c r="A248" s="36" t="n">
        <v>44447</v>
      </c>
      <c r="B248" t="n">
        <v>0.02516691281897354</v>
      </c>
    </row>
    <row r="249">
      <c r="A249" s="36" t="n">
        <v>44448</v>
      </c>
      <c r="B249" t="n">
        <v>0.02316990284951498</v>
      </c>
    </row>
    <row r="250">
      <c r="A250" s="36" t="n">
        <v>44449</v>
      </c>
      <c r="B250" t="n">
        <v>0.01777735015302317</v>
      </c>
    </row>
    <row r="251">
      <c r="A251" s="36" t="n">
        <v>44452</v>
      </c>
      <c r="B251" t="n">
        <v>0.0309522461530255</v>
      </c>
    </row>
    <row r="252">
      <c r="A252" s="36" t="n">
        <v>44453</v>
      </c>
      <c r="B252" t="n">
        <v>0.02785783497080424</v>
      </c>
    </row>
    <row r="253">
      <c r="A253" s="36" t="n">
        <v>44454</v>
      </c>
      <c r="B253" t="n">
        <v>0.03205347714933982</v>
      </c>
    </row>
    <row r="254">
      <c r="A254" s="44" t="inlineStr">
        <is>
          <t>Total general</t>
        </is>
      </c>
      <c r="B254" t="n">
        <v>4.579830536876535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6.xml><?xml version="1.0" encoding="utf-8"?>
<worksheet xmlns="http://schemas.openxmlformats.org/spreadsheetml/2006/main">
  <sheetPr codeName="Hoja9">
    <outlinePr summaryBelow="1" summaryRight="1"/>
    <pageSetUpPr/>
  </sheetPr>
  <dimension ref="A1:B246"/>
  <sheetViews>
    <sheetView workbookViewId="0">
      <selection activeCell="A10" sqref="A10"/>
    </sheetView>
  </sheetViews>
  <sheetFormatPr baseColWidth="10" defaultRowHeight="15"/>
  <cols>
    <col width="17.5703125" bestFit="1" customWidth="1" style="76" min="1" max="1"/>
    <col width="13.7109375" customWidth="1" style="76" min="2" max="2"/>
  </cols>
  <sheetData>
    <row r="1">
      <c r="A1" s="35" t="inlineStr">
        <is>
          <t>Etiquetas de fila</t>
        </is>
      </c>
      <c r="B1" t="inlineStr">
        <is>
          <t>Suma de 30-41</t>
        </is>
      </c>
    </row>
    <row r="2">
      <c r="A2" s="44" t="inlineStr">
        <is>
          <t>16/09/2021</t>
        </is>
      </c>
      <c r="B2" t="n">
        <v>-0.01069747217267153</v>
      </c>
    </row>
    <row r="3">
      <c r="A3" s="44" t="inlineStr">
        <is>
          <t>17/09/2021</t>
        </is>
      </c>
      <c r="B3" t="n">
        <v>-0.01049748347998763</v>
      </c>
    </row>
    <row r="4">
      <c r="A4" s="44" t="inlineStr">
        <is>
          <t>20/09/2021</t>
        </is>
      </c>
      <c r="B4" t="n">
        <v>-0.006198450387403132</v>
      </c>
    </row>
    <row r="5">
      <c r="A5" s="44" t="inlineStr">
        <is>
          <t>21/09/2021</t>
        </is>
      </c>
      <c r="B5" t="n">
        <v>-0.007398125132671851</v>
      </c>
    </row>
    <row r="6">
      <c r="A6" s="44" t="inlineStr">
        <is>
          <t>22/09/2021</t>
        </is>
      </c>
      <c r="B6" t="n">
        <v>-0.005098690404861828</v>
      </c>
    </row>
    <row r="7">
      <c r="A7" s="44" t="inlineStr">
        <is>
          <t>23/09/2021</t>
        </is>
      </c>
      <c r="B7" t="n">
        <v>-0.002599323463755965</v>
      </c>
    </row>
    <row r="8">
      <c r="A8" s="44" t="inlineStr">
        <is>
          <t>24/09/2021</t>
        </is>
      </c>
      <c r="B8" t="n">
        <v>-0.00589844458824218</v>
      </c>
    </row>
    <row r="9">
      <c r="A9" s="36" t="n">
        <v>44098</v>
      </c>
      <c r="B9" t="n">
        <v>0.06556466652040366</v>
      </c>
    </row>
    <row r="10">
      <c r="A10" s="36" t="n">
        <v>44099</v>
      </c>
      <c r="B10" t="n">
        <v>0.05205115987288877</v>
      </c>
    </row>
    <row r="11">
      <c r="A11" s="36" t="n">
        <v>44102</v>
      </c>
      <c r="B11" t="n">
        <v>0.05405257167930455</v>
      </c>
    </row>
    <row r="12">
      <c r="A12" s="36" t="n">
        <v>44103</v>
      </c>
      <c r="B12" t="n">
        <v>0.05635461766026667</v>
      </c>
    </row>
    <row r="13">
      <c r="A13" s="36" t="n">
        <v>44104</v>
      </c>
      <c r="B13" t="n">
        <v>0.05585394113493169</v>
      </c>
    </row>
    <row r="14">
      <c r="A14" s="36" t="n">
        <v>44105</v>
      </c>
      <c r="B14" t="n">
        <v>0.04904719953105563</v>
      </c>
    </row>
    <row r="15">
      <c r="A15" s="36" t="n">
        <v>44106</v>
      </c>
      <c r="B15" t="n">
        <v>0.04304127245303713</v>
      </c>
    </row>
    <row r="16">
      <c r="A16" s="36" t="n">
        <v>44109</v>
      </c>
      <c r="B16" t="n">
        <v>0.04404177935918663</v>
      </c>
    </row>
    <row r="17">
      <c r="A17" s="36" t="n">
        <v>44110</v>
      </c>
      <c r="B17" t="n">
        <v>0.04464219604831965</v>
      </c>
    </row>
    <row r="18">
      <c r="A18" s="36" t="n">
        <v>44111</v>
      </c>
      <c r="B18" t="n">
        <v>0.04904619076184763</v>
      </c>
    </row>
    <row r="19">
      <c r="A19" s="36" t="n">
        <v>44112</v>
      </c>
      <c r="B19" t="n">
        <v>0.05204884035019164</v>
      </c>
    </row>
    <row r="20">
      <c r="A20" s="36" t="n">
        <v>44113</v>
      </c>
      <c r="B20" t="n">
        <v>0.05234894267585788</v>
      </c>
    </row>
    <row r="21">
      <c r="A21" s="36" t="n">
        <v>44117</v>
      </c>
      <c r="B21" t="n">
        <v>0.05495062231987685</v>
      </c>
    </row>
    <row r="22">
      <c r="A22" s="36" t="n">
        <v>44118</v>
      </c>
      <c r="B22" t="n">
        <v>0.06255741571030943</v>
      </c>
    </row>
    <row r="23">
      <c r="A23" s="36" t="n">
        <v>44119</v>
      </c>
      <c r="B23" t="n">
        <v>0.07907230241350821</v>
      </c>
    </row>
    <row r="24">
      <c r="A24" s="36" t="n">
        <v>44120</v>
      </c>
      <c r="B24" t="n">
        <v>0.08397649913962718</v>
      </c>
    </row>
    <row r="25">
      <c r="A25" s="36" t="n">
        <v>44123</v>
      </c>
      <c r="B25" t="n">
        <v>0.07556806301566144</v>
      </c>
    </row>
    <row r="26">
      <c r="A26" s="36" t="n">
        <v>44124</v>
      </c>
      <c r="B26" t="n">
        <v>0.06585909274760238</v>
      </c>
    </row>
    <row r="27">
      <c r="A27" s="36" t="n">
        <v>44125</v>
      </c>
      <c r="B27" t="n">
        <v>0.06355680933985508</v>
      </c>
    </row>
    <row r="28">
      <c r="A28" s="36" t="n">
        <v>44126</v>
      </c>
      <c r="B28" t="n">
        <v>0.05504901624734354</v>
      </c>
    </row>
    <row r="29">
      <c r="A29" s="36" t="n">
        <v>44127</v>
      </c>
      <c r="B29" t="n">
        <v>0.06005326642467118</v>
      </c>
    </row>
    <row r="30">
      <c r="A30" s="36" t="n">
        <v>44130</v>
      </c>
      <c r="B30" t="n">
        <v>0.04834238236261929</v>
      </c>
    </row>
    <row r="31">
      <c r="A31" s="36" t="n">
        <v>44131</v>
      </c>
      <c r="B31" t="n">
        <v>0.05224562546059058</v>
      </c>
    </row>
    <row r="32">
      <c r="A32" s="36" t="n">
        <v>44132</v>
      </c>
      <c r="B32" t="n">
        <v>0.05014361807873974</v>
      </c>
    </row>
    <row r="33">
      <c r="A33" s="36" t="n">
        <v>44133</v>
      </c>
      <c r="B33" t="n">
        <v>0.05094413995688046</v>
      </c>
    </row>
    <row r="34">
      <c r="A34" s="36" t="n">
        <v>44134</v>
      </c>
      <c r="B34" t="n">
        <v>0.04553930104062409</v>
      </c>
    </row>
    <row r="35">
      <c r="A35" s="36" t="n">
        <v>44137</v>
      </c>
      <c r="B35" t="n">
        <v>0.05044301476258867</v>
      </c>
    </row>
    <row r="36">
      <c r="A36" s="36" t="n">
        <v>44138</v>
      </c>
      <c r="B36" t="n">
        <v>0.04363706161397352</v>
      </c>
    </row>
    <row r="37">
      <c r="A37" s="36" t="n">
        <v>44139</v>
      </c>
      <c r="B37" t="n">
        <v>0.04393716602742731</v>
      </c>
    </row>
    <row r="38">
      <c r="A38" s="36" t="n">
        <v>44140</v>
      </c>
      <c r="B38" t="n">
        <v>0.03382849935219401</v>
      </c>
    </row>
    <row r="39">
      <c r="A39" s="36" t="n">
        <v>44141</v>
      </c>
      <c r="B39" t="n">
        <v>0.03412863532758648</v>
      </c>
    </row>
    <row r="40">
      <c r="A40" s="36" t="n">
        <v>44144</v>
      </c>
      <c r="B40" t="n">
        <v>0.03602986036372613</v>
      </c>
    </row>
    <row r="41">
      <c r="A41" s="36" t="n">
        <v>44145</v>
      </c>
      <c r="B41" t="n">
        <v>0.03202643277499578</v>
      </c>
    </row>
    <row r="42">
      <c r="A42" s="36" t="n">
        <v>44146</v>
      </c>
      <c r="B42" t="n">
        <v>0.0381313408280779</v>
      </c>
    </row>
    <row r="43">
      <c r="A43" s="36" t="n">
        <v>44147</v>
      </c>
      <c r="B43" t="n">
        <v>0.03823129205068532</v>
      </c>
    </row>
    <row r="44">
      <c r="A44" s="36" t="n">
        <v>44148</v>
      </c>
      <c r="B44" t="n">
        <v>0.04013271090820597</v>
      </c>
    </row>
    <row r="45">
      <c r="A45" s="36" t="n">
        <v>44151</v>
      </c>
      <c r="B45" t="n">
        <v>0.04083286206364711</v>
      </c>
    </row>
    <row r="46">
      <c r="A46" s="36" t="n">
        <v>44152</v>
      </c>
      <c r="B46" t="n">
        <v>0.04383512815064128</v>
      </c>
    </row>
    <row r="47">
      <c r="A47" s="36" t="n">
        <v>44153</v>
      </c>
      <c r="B47" t="n">
        <v>0.04093266202140755</v>
      </c>
    </row>
    <row r="48">
      <c r="A48" s="36" t="n">
        <v>44154</v>
      </c>
      <c r="B48" t="n">
        <v>0.04183323736667488</v>
      </c>
    </row>
    <row r="49">
      <c r="A49" s="36" t="n">
        <v>44155</v>
      </c>
      <c r="B49" t="n">
        <v>0.03853048130541625</v>
      </c>
    </row>
    <row r="50">
      <c r="A50" s="36" t="n">
        <v>44159</v>
      </c>
      <c r="B50" t="n">
        <v>0.03852995307996288</v>
      </c>
    </row>
    <row r="51">
      <c r="A51" s="36" t="n">
        <v>44160</v>
      </c>
      <c r="B51" t="n">
        <v>0.03803793298887131</v>
      </c>
    </row>
    <row r="52">
      <c r="A52" s="36" t="n">
        <v>44161</v>
      </c>
      <c r="B52" t="n">
        <v>0.0410316168280353</v>
      </c>
    </row>
    <row r="53">
      <c r="A53" s="36" t="n">
        <v>44162</v>
      </c>
      <c r="B53" t="n">
        <v>0.04013078525992542</v>
      </c>
    </row>
    <row r="54">
      <c r="A54" s="36" t="n">
        <v>44165</v>
      </c>
      <c r="B54" t="n">
        <v>0.03612734295477055</v>
      </c>
    </row>
    <row r="55">
      <c r="A55" s="36" t="n">
        <v>44166</v>
      </c>
      <c r="B55" t="n">
        <v>0.03882925491808892</v>
      </c>
    </row>
    <row r="56">
      <c r="A56" s="36" t="n">
        <v>44167</v>
      </c>
      <c r="B56" t="n">
        <v>0.03952964723542651</v>
      </c>
    </row>
    <row r="57">
      <c r="A57" s="36" t="n">
        <v>44168</v>
      </c>
      <c r="B57" t="n">
        <v>0.04143093131173275</v>
      </c>
    </row>
    <row r="58">
      <c r="A58" s="36" t="n">
        <v>44169</v>
      </c>
      <c r="B58" t="n">
        <v>0.04133071494912322</v>
      </c>
    </row>
    <row r="59">
      <c r="A59" s="36" t="n">
        <v>44174</v>
      </c>
      <c r="B59" t="n">
        <v>0.0465337848026649</v>
      </c>
    </row>
    <row r="60">
      <c r="A60" s="36" t="n">
        <v>44175</v>
      </c>
      <c r="B60" t="n">
        <v>0.04923557776338383</v>
      </c>
    </row>
    <row r="61">
      <c r="A61" s="36" t="n">
        <v>44176</v>
      </c>
      <c r="B61" t="n">
        <v>0.04933548099660712</v>
      </c>
    </row>
    <row r="62">
      <c r="A62" s="36" t="n">
        <v>44179</v>
      </c>
      <c r="B62" t="n">
        <v>0.05533923020771575</v>
      </c>
    </row>
    <row r="63">
      <c r="A63" s="36" t="n">
        <v>44180</v>
      </c>
      <c r="B63" t="n">
        <v>0.05233692262349471</v>
      </c>
    </row>
    <row r="64">
      <c r="A64" s="36" t="n">
        <v>44181</v>
      </c>
      <c r="B64" t="n">
        <v>0.04983498689148208</v>
      </c>
    </row>
    <row r="65">
      <c r="A65" s="36" t="n">
        <v>44182</v>
      </c>
      <c r="B65" t="n">
        <v>0.04793348777913342</v>
      </c>
    </row>
    <row r="66">
      <c r="A66" s="36" t="n">
        <v>44183</v>
      </c>
      <c r="B66" t="n">
        <v>0.04723283652676347</v>
      </c>
    </row>
    <row r="67">
      <c r="A67" s="36" t="n">
        <v>44186</v>
      </c>
      <c r="B67" t="n">
        <v>0.05193557230980128</v>
      </c>
    </row>
    <row r="68">
      <c r="A68" s="36" t="n">
        <v>44187</v>
      </c>
      <c r="B68" t="n">
        <v>0.04763246184899977</v>
      </c>
    </row>
    <row r="69">
      <c r="A69" s="36" t="n">
        <v>44188</v>
      </c>
      <c r="B69" t="n">
        <v>0.04923338428112206</v>
      </c>
    </row>
    <row r="70">
      <c r="A70" s="36" t="n">
        <v>44193</v>
      </c>
      <c r="B70" t="n">
        <v>0.05203439259510562</v>
      </c>
    </row>
    <row r="71">
      <c r="A71" s="36" t="n">
        <v>44194</v>
      </c>
      <c r="B71" t="n">
        <v>0.05183408268450485</v>
      </c>
    </row>
    <row r="72">
      <c r="A72" s="36" t="n">
        <v>44195</v>
      </c>
      <c r="B72" t="n">
        <v>0.05043298870151369</v>
      </c>
    </row>
    <row r="73">
      <c r="A73" s="36" t="n">
        <v>44200</v>
      </c>
      <c r="B73" t="n">
        <v>0.05753665005791364</v>
      </c>
    </row>
    <row r="74">
      <c r="A74" s="36" t="n">
        <v>44201</v>
      </c>
      <c r="B74" t="n">
        <v>0.0575364528896733</v>
      </c>
    </row>
    <row r="75">
      <c r="A75" s="36" t="n">
        <v>44202</v>
      </c>
      <c r="B75" t="n">
        <v>0.05503467938701095</v>
      </c>
    </row>
    <row r="76">
      <c r="A76" s="36" t="n">
        <v>44203</v>
      </c>
      <c r="B76" t="n">
        <v>0.04702947395114054</v>
      </c>
    </row>
    <row r="77">
      <c r="A77" s="36" t="n">
        <v>44204</v>
      </c>
      <c r="B77" t="n">
        <v>0.0490305601436512</v>
      </c>
    </row>
    <row r="78">
      <c r="A78" s="36" t="n">
        <v>44207</v>
      </c>
      <c r="B78" t="n">
        <v>0.04542784789305776</v>
      </c>
    </row>
    <row r="79">
      <c r="A79" s="36" t="n">
        <v>44208</v>
      </c>
      <c r="B79" t="n">
        <v>0.04342647230160845</v>
      </c>
    </row>
    <row r="80">
      <c r="A80" s="36" t="n">
        <v>44209</v>
      </c>
      <c r="B80" t="n">
        <v>0.04732868896557157</v>
      </c>
    </row>
    <row r="81">
      <c r="A81" s="36" t="n">
        <v>44210</v>
      </c>
      <c r="B81" t="n">
        <v>0.04952985361039536</v>
      </c>
    </row>
    <row r="82">
      <c r="A82" s="36" t="n">
        <v>44211</v>
      </c>
      <c r="B82" t="n">
        <v>0.05043022359290672</v>
      </c>
    </row>
    <row r="83">
      <c r="A83" s="36" t="n">
        <v>44214</v>
      </c>
      <c r="B83" t="n">
        <v>0.05002946941349012</v>
      </c>
    </row>
    <row r="84">
      <c r="A84" s="36" t="n">
        <v>44215</v>
      </c>
      <c r="B84" t="n">
        <v>0.04942894640354456</v>
      </c>
    </row>
    <row r="85">
      <c r="A85" s="36" t="n">
        <v>44216</v>
      </c>
      <c r="B85" t="n">
        <v>0.04872836925607377</v>
      </c>
    </row>
    <row r="86">
      <c r="A86" s="36" t="n">
        <v>44217</v>
      </c>
      <c r="B86" t="n">
        <v>0.05293063451106972</v>
      </c>
    </row>
    <row r="87">
      <c r="A87" s="36" t="n">
        <v>44218</v>
      </c>
      <c r="B87" t="n">
        <v>0.04992872611639565</v>
      </c>
    </row>
    <row r="88">
      <c r="A88" s="36" t="n">
        <v>44221</v>
      </c>
      <c r="B88" t="n">
        <v>0.04992821286000654</v>
      </c>
    </row>
    <row r="89">
      <c r="A89" s="36" t="n">
        <v>44222</v>
      </c>
      <c r="B89" t="n">
        <v>0.0498279855809427</v>
      </c>
    </row>
    <row r="90">
      <c r="A90" s="36" t="n">
        <v>44223</v>
      </c>
      <c r="B90" t="n">
        <v>0.0454253573056192</v>
      </c>
    </row>
    <row r="91">
      <c r="A91" s="36" t="n">
        <v>44224</v>
      </c>
      <c r="B91" t="n">
        <v>0.04572536818371836</v>
      </c>
    </row>
    <row r="92">
      <c r="A92" s="36" t="n">
        <v>44225</v>
      </c>
      <c r="B92" t="n">
        <v>0.04652565284283455</v>
      </c>
    </row>
    <row r="93">
      <c r="A93" s="36" t="n">
        <v>44228</v>
      </c>
      <c r="B93" t="n">
        <v>0.04492430835863243</v>
      </c>
    </row>
    <row r="94">
      <c r="A94" s="36" t="n">
        <v>44229</v>
      </c>
      <c r="B94" t="n">
        <v>0.04422377785316084</v>
      </c>
    </row>
    <row r="95">
      <c r="A95" s="36" t="n">
        <v>44230</v>
      </c>
      <c r="B95" t="n">
        <v>0.04432367977412593</v>
      </c>
    </row>
    <row r="96">
      <c r="A96" s="36" t="n">
        <v>44231</v>
      </c>
      <c r="B96" t="n">
        <v>0.03952097860165504</v>
      </c>
    </row>
    <row r="97">
      <c r="A97" s="36" t="n">
        <v>44232</v>
      </c>
      <c r="B97" t="n">
        <v>0.03872042104397522</v>
      </c>
    </row>
    <row r="98">
      <c r="A98" s="36" t="n">
        <v>44235</v>
      </c>
      <c r="B98" t="n">
        <v>0.03952043693827967</v>
      </c>
    </row>
    <row r="99">
      <c r="A99" s="36" t="n">
        <v>44236</v>
      </c>
      <c r="B99" t="n">
        <v>0.03841973616583866</v>
      </c>
    </row>
    <row r="100">
      <c r="A100" s="36" t="n">
        <v>44237</v>
      </c>
      <c r="B100" t="n">
        <v>0.04022052348629956</v>
      </c>
    </row>
    <row r="101">
      <c r="A101" s="36" t="n">
        <v>44238</v>
      </c>
      <c r="B101" t="n">
        <v>0.03501774872195496</v>
      </c>
    </row>
    <row r="102">
      <c r="A102" s="36" t="n">
        <v>44239</v>
      </c>
      <c r="B102" t="n">
        <v>0.03051536218575795</v>
      </c>
    </row>
    <row r="103">
      <c r="A103" s="36" t="n">
        <v>44244</v>
      </c>
      <c r="B103" t="n">
        <v>0.03291600709934284</v>
      </c>
    </row>
    <row r="104">
      <c r="A104" s="36" t="n">
        <v>44245</v>
      </c>
      <c r="B104" t="n">
        <v>0.03891879297880141</v>
      </c>
    </row>
    <row r="105">
      <c r="A105" s="36" t="n">
        <v>44246</v>
      </c>
      <c r="B105" t="n">
        <v>0.03191530185705471</v>
      </c>
    </row>
    <row r="106">
      <c r="A106" s="36" t="n">
        <v>44249</v>
      </c>
      <c r="B106" t="n">
        <v>0.03611694527912068</v>
      </c>
    </row>
    <row r="107">
      <c r="A107" s="36" t="n">
        <v>44250</v>
      </c>
      <c r="B107" t="n">
        <v>0.0301140257106049</v>
      </c>
    </row>
    <row r="108">
      <c r="A108" s="36" t="n">
        <v>44251</v>
      </c>
      <c r="B108" t="n">
        <v>0.02981378376989358</v>
      </c>
    </row>
    <row r="109">
      <c r="A109" s="36" t="n">
        <v>44252</v>
      </c>
      <c r="B109" t="n">
        <v>0.03271501305393565</v>
      </c>
    </row>
    <row r="110">
      <c r="A110" s="36" t="n">
        <v>44253</v>
      </c>
      <c r="B110" t="n">
        <v>0.03681676928189898</v>
      </c>
    </row>
    <row r="111">
      <c r="A111" s="36" t="n">
        <v>44256</v>
      </c>
      <c r="B111" t="n">
        <v>0.03581594545516842</v>
      </c>
    </row>
    <row r="112">
      <c r="A112" s="36" t="n">
        <v>44257</v>
      </c>
      <c r="B112" t="n">
        <v>0.04041785583357027</v>
      </c>
    </row>
    <row r="113">
      <c r="A113" s="36" t="n">
        <v>44258</v>
      </c>
      <c r="B113" t="n">
        <v>0.0418183313233198</v>
      </c>
    </row>
    <row r="114">
      <c r="A114" s="36" t="n">
        <v>44259</v>
      </c>
      <c r="B114" t="n">
        <v>0.04081775292678674</v>
      </c>
    </row>
    <row r="115">
      <c r="A115" s="36" t="n">
        <v>44260</v>
      </c>
      <c r="B115" t="n">
        <v>0.03491506609016221</v>
      </c>
    </row>
    <row r="116">
      <c r="A116" s="36" t="n">
        <v>44263</v>
      </c>
      <c r="B116" t="n">
        <v>0.03701559218437905</v>
      </c>
    </row>
    <row r="117">
      <c r="A117" s="36" t="n">
        <v>44264</v>
      </c>
      <c r="B117" t="n">
        <v>0.03161320825824487</v>
      </c>
    </row>
    <row r="118">
      <c r="A118" s="36" t="n">
        <v>44265</v>
      </c>
      <c r="B118" t="n">
        <v>0.0209086642067432</v>
      </c>
    </row>
    <row r="119">
      <c r="A119" s="36" t="n">
        <v>44266</v>
      </c>
      <c r="B119" t="n">
        <v>0.02010826367000135</v>
      </c>
    </row>
    <row r="120">
      <c r="A120" s="36" t="n">
        <v>44267</v>
      </c>
      <c r="B120" t="n">
        <v>0.01890770553753068</v>
      </c>
    </row>
    <row r="121">
      <c r="A121" s="36" t="n">
        <v>44270</v>
      </c>
      <c r="B121" t="n">
        <v>0.01510600101410148</v>
      </c>
    </row>
    <row r="122">
      <c r="A122" s="36" t="n">
        <v>44271</v>
      </c>
      <c r="B122" t="n">
        <v>0.01910752522397519</v>
      </c>
    </row>
    <row r="123">
      <c r="A123" s="36" t="n">
        <v>44272</v>
      </c>
      <c r="B123" t="n">
        <v>0.02050800655050256</v>
      </c>
    </row>
    <row r="124">
      <c r="A124" s="36" t="n">
        <v>44273</v>
      </c>
      <c r="B124" t="n">
        <v>0.01870723944540181</v>
      </c>
    </row>
    <row r="125">
      <c r="A125" s="36" t="n">
        <v>44274</v>
      </c>
      <c r="B125" t="n">
        <v>0.016706407937291</v>
      </c>
    </row>
    <row r="126">
      <c r="A126" s="36" t="n">
        <v>44277</v>
      </c>
      <c r="B126" t="n">
        <v>0.01560582546224443</v>
      </c>
    </row>
    <row r="127">
      <c r="A127" s="36" t="n">
        <v>44278</v>
      </c>
      <c r="B127" t="n">
        <v>0.007502774998972228</v>
      </c>
    </row>
    <row r="128">
      <c r="A128" s="36" t="n">
        <v>44280</v>
      </c>
      <c r="B128" t="n">
        <v>0.007302650962335622</v>
      </c>
    </row>
    <row r="129">
      <c r="A129" s="36" t="n">
        <v>44281</v>
      </c>
      <c r="B129" t="n">
        <v>0.009703489268401311</v>
      </c>
    </row>
    <row r="130">
      <c r="A130" s="36" t="n">
        <v>44284</v>
      </c>
      <c r="B130" t="n">
        <v>0.008703040103049731</v>
      </c>
    </row>
    <row r="131">
      <c r="A131" s="36" t="n">
        <v>44285</v>
      </c>
      <c r="B131" t="n">
        <v>0.003901349439360879</v>
      </c>
    </row>
    <row r="132">
      <c r="A132" s="36" t="n">
        <v>44286</v>
      </c>
      <c r="B132" t="n">
        <v>0.005001712915381984</v>
      </c>
    </row>
    <row r="133">
      <c r="A133" s="36" t="n">
        <v>44291</v>
      </c>
      <c r="B133" t="n">
        <v>0.01600520717356674</v>
      </c>
    </row>
    <row r="134">
      <c r="A134" s="36" t="n">
        <v>44292</v>
      </c>
      <c r="B134" t="n">
        <v>0.01630524895000446</v>
      </c>
    </row>
    <row r="135">
      <c r="A135" s="36" t="n">
        <v>44293</v>
      </c>
      <c r="B135" t="n">
        <v>0.01370436474630621</v>
      </c>
    </row>
    <row r="136">
      <c r="A136" s="36" t="n">
        <v>44294</v>
      </c>
      <c r="B136" t="n">
        <v>0.01290406566452446</v>
      </c>
    </row>
    <row r="137">
      <c r="A137" s="36" t="n">
        <v>44295</v>
      </c>
      <c r="B137" t="n">
        <v>0.01050327328037159</v>
      </c>
    </row>
    <row r="138">
      <c r="A138" s="36" t="n">
        <v>44298</v>
      </c>
      <c r="B138" t="n">
        <v>0.01150346679821312</v>
      </c>
    </row>
    <row r="139">
      <c r="A139" s="36" t="n">
        <v>44299</v>
      </c>
      <c r="B139" t="n">
        <v>0.01320393404884335</v>
      </c>
    </row>
    <row r="140">
      <c r="A140" s="36" t="n">
        <v>44300</v>
      </c>
      <c r="B140" t="n">
        <v>0.01090321121974286</v>
      </c>
    </row>
    <row r="141">
      <c r="A141" s="36" t="n">
        <v>44301</v>
      </c>
      <c r="B141" t="n">
        <v>0.01150334857749685</v>
      </c>
    </row>
    <row r="142">
      <c r="A142" s="36" t="n">
        <v>44302</v>
      </c>
      <c r="B142" t="n">
        <v>0.01050302141712001</v>
      </c>
    </row>
    <row r="143">
      <c r="A143" s="36" t="n">
        <v>44305</v>
      </c>
      <c r="B143" t="n">
        <v>0.01220338518561653</v>
      </c>
    </row>
    <row r="144">
      <c r="A144" s="36" t="n">
        <v>44306</v>
      </c>
      <c r="B144" t="n">
        <v>0.01260345300082211</v>
      </c>
    </row>
    <row r="145">
      <c r="A145" s="36" t="n">
        <v>44307</v>
      </c>
      <c r="B145" t="n">
        <v>0.01350365338567627</v>
      </c>
    </row>
    <row r="146">
      <c r="A146" s="36" t="n">
        <v>44308</v>
      </c>
      <c r="B146" t="n">
        <v>0.009202458190886553</v>
      </c>
    </row>
    <row r="147">
      <c r="A147" s="36" t="n">
        <v>44309</v>
      </c>
      <c r="B147" t="n">
        <v>0.01420374550823339</v>
      </c>
    </row>
    <row r="148">
      <c r="A148" s="36" t="n">
        <v>44312</v>
      </c>
      <c r="B148" t="n">
        <v>0.02070524722018596</v>
      </c>
    </row>
    <row r="149">
      <c r="A149" s="36" t="n">
        <v>44313</v>
      </c>
      <c r="B149" t="n">
        <v>0.02300575143785943</v>
      </c>
    </row>
    <row r="150">
      <c r="A150" s="36" t="n">
        <v>44314</v>
      </c>
      <c r="B150" t="n">
        <v>0.02200542599545097</v>
      </c>
    </row>
    <row r="151">
      <c r="A151" s="36" t="n">
        <v>44315</v>
      </c>
      <c r="B151" t="n">
        <v>0.02480603160357486</v>
      </c>
    </row>
    <row r="152">
      <c r="A152" s="36" t="n">
        <v>44316</v>
      </c>
      <c r="B152" t="n">
        <v>0.02210529921556531</v>
      </c>
    </row>
    <row r="153">
      <c r="A153" s="36" t="n">
        <v>44319</v>
      </c>
      <c r="B153" t="n">
        <v>0.02630603597400777</v>
      </c>
    </row>
    <row r="154">
      <c r="A154" s="36" t="n">
        <v>44320</v>
      </c>
      <c r="B154" t="n">
        <v>0.02290517719758578</v>
      </c>
    </row>
    <row r="155">
      <c r="A155" s="36" t="n">
        <v>44321</v>
      </c>
      <c r="B155" t="n">
        <v>0.02240498741158137</v>
      </c>
    </row>
    <row r="156">
      <c r="A156" s="36" t="n">
        <v>44322</v>
      </c>
      <c r="B156" t="n">
        <v>0.02280499835580407</v>
      </c>
    </row>
    <row r="157">
      <c r="A157" s="36" t="n">
        <v>44323</v>
      </c>
      <c r="B157" t="n">
        <v>0.02000431599968483</v>
      </c>
    </row>
    <row r="158">
      <c r="A158" s="36" t="n">
        <v>44326</v>
      </c>
      <c r="B158" t="n">
        <v>0.02150441871617453</v>
      </c>
    </row>
    <row r="159">
      <c r="A159" s="36" t="n">
        <v>44327</v>
      </c>
      <c r="B159" t="n">
        <v>0.01820367814044621</v>
      </c>
    </row>
    <row r="160">
      <c r="A160" s="36" t="n">
        <v>44328</v>
      </c>
      <c r="B160" t="n">
        <v>0.01860369525453681</v>
      </c>
    </row>
    <row r="161">
      <c r="A161" s="36" t="n">
        <v>44329</v>
      </c>
      <c r="B161" t="n">
        <v>0.02010392439620057</v>
      </c>
    </row>
    <row r="162">
      <c r="A162" s="36" t="n">
        <v>44330</v>
      </c>
      <c r="B162" t="n">
        <v>0.02040391307922074</v>
      </c>
    </row>
    <row r="163">
      <c r="A163" s="36" t="n">
        <v>44333</v>
      </c>
      <c r="B163" t="n">
        <v>0.01910346741018065</v>
      </c>
    </row>
    <row r="164">
      <c r="A164" s="36" t="n">
        <v>44334</v>
      </c>
      <c r="B164" t="n">
        <v>0.02200391850603534</v>
      </c>
    </row>
    <row r="165">
      <c r="A165" s="36" t="n">
        <v>44335</v>
      </c>
      <c r="B165" t="n">
        <v>0.014702567914259</v>
      </c>
    </row>
    <row r="166">
      <c r="A166" s="36" t="n">
        <v>44336</v>
      </c>
      <c r="B166" t="n">
        <v>0.01780304846720332</v>
      </c>
    </row>
    <row r="167">
      <c r="A167" s="36" t="n">
        <v>44337</v>
      </c>
      <c r="B167" t="n">
        <v>0.0104017454983884</v>
      </c>
    </row>
    <row r="168">
      <c r="A168" s="36" t="n">
        <v>44342</v>
      </c>
      <c r="B168" t="n">
        <v>0.007501130307306536</v>
      </c>
    </row>
    <row r="169">
      <c r="A169" s="36" t="n">
        <v>44343</v>
      </c>
      <c r="B169" t="n">
        <v>0.004100603856047269</v>
      </c>
    </row>
    <row r="170">
      <c r="A170" s="36" t="n">
        <v>44344</v>
      </c>
      <c r="B170" t="n">
        <v>0.007501078922310722</v>
      </c>
    </row>
    <row r="171">
      <c r="A171" s="36" t="n">
        <v>44347</v>
      </c>
      <c r="B171" t="n">
        <v>0.009001202215364323</v>
      </c>
    </row>
    <row r="172">
      <c r="A172" s="36" t="n">
        <v>44348</v>
      </c>
      <c r="B172" t="n">
        <v>0.00700091107746903</v>
      </c>
    </row>
    <row r="173">
      <c r="A173" s="36" t="n">
        <v>44349</v>
      </c>
      <c r="B173" t="n">
        <v>0.009401191246836027</v>
      </c>
    </row>
    <row r="174">
      <c r="A174" s="36" t="n">
        <v>44350</v>
      </c>
      <c r="B174" t="n">
        <v>0.01550191119453082</v>
      </c>
    </row>
    <row r="175">
      <c r="A175" s="36" t="n">
        <v>44351</v>
      </c>
      <c r="B175" t="n">
        <v>0.01240148647954381</v>
      </c>
    </row>
    <row r="176">
      <c r="A176" s="36" t="n">
        <v>44354</v>
      </c>
      <c r="B176" t="n">
        <v>0.01150126041209998</v>
      </c>
    </row>
    <row r="177">
      <c r="A177" s="36" t="n">
        <v>44355</v>
      </c>
      <c r="B177" t="n">
        <v>0.0112011891673432</v>
      </c>
    </row>
    <row r="178">
      <c r="A178" s="36" t="n">
        <v>44356</v>
      </c>
      <c r="B178" t="n">
        <v>0.01250128437853204</v>
      </c>
    </row>
    <row r="179">
      <c r="A179" s="36" t="n">
        <v>44357</v>
      </c>
      <c r="B179" t="n">
        <v>0.00970096345184962</v>
      </c>
    </row>
    <row r="180">
      <c r="A180" s="36" t="n">
        <v>44358</v>
      </c>
      <c r="B180" t="n">
        <v>0.006000575397640817</v>
      </c>
    </row>
    <row r="181">
      <c r="A181" s="36" t="n">
        <v>44361</v>
      </c>
      <c r="B181" t="n">
        <v>0.00300025687130745</v>
      </c>
    </row>
    <row r="182">
      <c r="A182" s="36" t="n">
        <v>44362</v>
      </c>
      <c r="B182" t="n">
        <v>-0.002200180836781085</v>
      </c>
    </row>
    <row r="183">
      <c r="A183" s="36" t="n">
        <v>44363</v>
      </c>
      <c r="B183" t="n">
        <v>0.007600598677293069</v>
      </c>
    </row>
    <row r="184">
      <c r="A184" s="36" t="n">
        <v>44364</v>
      </c>
      <c r="B184" t="n">
        <v>0.005300399345156137</v>
      </c>
    </row>
    <row r="185">
      <c r="A185" s="36" t="n">
        <v>44365</v>
      </c>
      <c r="B185" t="n">
        <v>0.00400028769192301</v>
      </c>
    </row>
    <row r="186">
      <c r="A186" s="36" t="n">
        <v>44369</v>
      </c>
      <c r="B186" t="n">
        <v>0.004500262001554844</v>
      </c>
    </row>
    <row r="187">
      <c r="A187" s="36" t="n">
        <v>44370</v>
      </c>
      <c r="B187" t="n">
        <v>0.005400295906625052</v>
      </c>
    </row>
    <row r="188">
      <c r="A188" s="36" t="n">
        <v>44371</v>
      </c>
      <c r="B188" t="n">
        <v>0.002500128431255022</v>
      </c>
    </row>
    <row r="189">
      <c r="A189" s="36" t="n">
        <v>44372</v>
      </c>
      <c r="B189" t="n">
        <v>0.002400115074010389</v>
      </c>
    </row>
    <row r="190">
      <c r="A190" s="36" t="n">
        <v>44375</v>
      </c>
      <c r="B190" t="n">
        <v>0.003500131854282218</v>
      </c>
    </row>
    <row r="191">
      <c r="A191" s="36" t="n">
        <v>44376</v>
      </c>
      <c r="B191" t="n">
        <v>0.0005000171238740969</v>
      </c>
    </row>
    <row r="192">
      <c r="A192" s="36" t="n">
        <v>44377</v>
      </c>
      <c r="B192" t="n">
        <v>0.0003000092468603555</v>
      </c>
    </row>
    <row r="193">
      <c r="A193" s="36" t="n">
        <v>44378</v>
      </c>
      <c r="B193" t="n">
        <v>-0.005500150689060013</v>
      </c>
    </row>
    <row r="194">
      <c r="A194" s="36" t="n">
        <v>44379</v>
      </c>
      <c r="B194" t="n">
        <v>-0.006900165414924275</v>
      </c>
    </row>
    <row r="195">
      <c r="A195" s="36" t="n">
        <v>44382</v>
      </c>
      <c r="B195" t="n">
        <v>-0.01100015068699572</v>
      </c>
    </row>
    <row r="196">
      <c r="A196" s="36" t="n">
        <v>44383</v>
      </c>
      <c r="B196" t="n">
        <v>-0.008300085274848656</v>
      </c>
    </row>
    <row r="197">
      <c r="A197" s="36" t="n">
        <v>44384</v>
      </c>
      <c r="B197" t="n">
        <v>-0.009400064384002649</v>
      </c>
    </row>
    <row r="198">
      <c r="A198" s="36" t="n">
        <v>44385</v>
      </c>
      <c r="B198" t="n">
        <v>-0.01190004075356421</v>
      </c>
    </row>
    <row r="199">
      <c r="A199" s="36" t="n">
        <v>44389</v>
      </c>
      <c r="B199" t="n">
        <v>-0.009599901370876296</v>
      </c>
    </row>
    <row r="200">
      <c r="A200" s="36" t="n">
        <v>44390</v>
      </c>
      <c r="B200" t="n">
        <v>-0.01249982876946887</v>
      </c>
    </row>
    <row r="201">
      <c r="A201" s="36" t="n">
        <v>44391</v>
      </c>
      <c r="B201" t="n">
        <v>-0.01189979623636578</v>
      </c>
    </row>
    <row r="202">
      <c r="A202" s="36" t="n">
        <v>44392</v>
      </c>
      <c r="B202" t="n">
        <v>-0.01059978219625624</v>
      </c>
    </row>
    <row r="203">
      <c r="A203" s="36" t="n">
        <v>44393</v>
      </c>
      <c r="B203" t="n">
        <v>-0.01179971713006878</v>
      </c>
    </row>
    <row r="204">
      <c r="A204" s="36" t="n">
        <v>44396</v>
      </c>
      <c r="B204" t="n">
        <v>-0.007599739734940547</v>
      </c>
    </row>
    <row r="205">
      <c r="A205" s="36" t="n">
        <v>44397</v>
      </c>
      <c r="B205" t="n">
        <v>-0.01409946885562535</v>
      </c>
    </row>
    <row r="206">
      <c r="A206" s="36" t="n">
        <v>44398</v>
      </c>
      <c r="B206" t="n">
        <v>-0.01529937125871539</v>
      </c>
    </row>
    <row r="207">
      <c r="A207" s="36" t="n">
        <v>44399</v>
      </c>
      <c r="B207" t="n">
        <v>-0.01909914969539028</v>
      </c>
    </row>
    <row r="208">
      <c r="A208" s="36" t="n">
        <v>44400</v>
      </c>
      <c r="B208" t="n">
        <v>-0.022198935667468</v>
      </c>
    </row>
    <row r="209">
      <c r="A209" s="36" t="n">
        <v>44403</v>
      </c>
      <c r="B209" t="n">
        <v>-0.02079878911159277</v>
      </c>
    </row>
    <row r="210">
      <c r="A210" s="36" t="n">
        <v>44404</v>
      </c>
      <c r="B210" t="n">
        <v>-0.02179865624721766</v>
      </c>
    </row>
    <row r="211">
      <c r="A211" s="36" t="n">
        <v>44405</v>
      </c>
      <c r="B211" t="n">
        <v>-0.0198987052212356</v>
      </c>
    </row>
    <row r="212">
      <c r="A212" s="36" t="n">
        <v>44406</v>
      </c>
      <c r="B212" t="n">
        <v>-0.02239846585850286</v>
      </c>
    </row>
    <row r="213">
      <c r="A213" s="36" t="n">
        <v>44407</v>
      </c>
      <c r="B213" t="n">
        <v>-0.02229839634820791</v>
      </c>
    </row>
    <row r="214">
      <c r="A214" s="36" t="n">
        <v>44409</v>
      </c>
      <c r="B214" t="n">
        <v>-0.02269821212712697</v>
      </c>
    </row>
    <row r="215">
      <c r="A215" s="36" t="n">
        <v>44410</v>
      </c>
      <c r="B215" t="n">
        <v>-0.02309810152590192</v>
      </c>
    </row>
    <row r="216">
      <c r="A216" s="36" t="n">
        <v>44411</v>
      </c>
      <c r="B216" t="n">
        <v>-0.02189812516051709</v>
      </c>
    </row>
    <row r="217">
      <c r="A217" s="36" t="n">
        <v>44412</v>
      </c>
      <c r="B217" t="n">
        <v>-0.01959825494990175</v>
      </c>
    </row>
    <row r="218">
      <c r="A218" s="36" t="n">
        <v>44413</v>
      </c>
      <c r="B218" t="n">
        <v>-0.02029812311875273</v>
      </c>
    </row>
    <row r="219">
      <c r="A219" s="36" t="n">
        <v>44417</v>
      </c>
      <c r="B219" t="n">
        <v>-0.01979789816834515</v>
      </c>
    </row>
    <row r="220">
      <c r="A220" s="36" t="n">
        <v>44418</v>
      </c>
      <c r="B220" t="n">
        <v>-0.02149764409379795</v>
      </c>
    </row>
    <row r="221">
      <c r="A221" s="36" t="n">
        <v>44419</v>
      </c>
      <c r="B221" t="n">
        <v>-0.02019771738125481</v>
      </c>
    </row>
    <row r="222">
      <c r="A222" s="36" t="n">
        <v>44420</v>
      </c>
      <c r="B222" t="n">
        <v>-0.02219741536944325</v>
      </c>
    </row>
    <row r="223">
      <c r="A223" s="36" t="n">
        <v>44421</v>
      </c>
      <c r="B223" t="n">
        <v>-0.02279726745081928</v>
      </c>
    </row>
    <row r="224">
      <c r="A224" s="36" t="n">
        <v>44425</v>
      </c>
      <c r="B224" t="n">
        <v>-0.01129849095497515</v>
      </c>
    </row>
    <row r="225">
      <c r="A225" s="36" t="n">
        <v>44426</v>
      </c>
      <c r="B225" t="n">
        <v>-0.0154978770031502</v>
      </c>
    </row>
    <row r="226">
      <c r="A226" s="36" t="n">
        <v>44427</v>
      </c>
      <c r="B226" t="n">
        <v>-0.01439797836605144</v>
      </c>
    </row>
    <row r="227">
      <c r="A227" s="36" t="n">
        <v>44428</v>
      </c>
      <c r="B227" t="n">
        <v>-0.01329808726142129</v>
      </c>
    </row>
    <row r="228">
      <c r="A228" s="36" t="n">
        <v>44431</v>
      </c>
      <c r="B228" t="n">
        <v>-0.01739731890633295</v>
      </c>
    </row>
    <row r="229">
      <c r="A229" s="36" t="n">
        <v>44432</v>
      </c>
      <c r="B229" t="n">
        <v>-0.01759722783397133</v>
      </c>
    </row>
    <row r="230">
      <c r="A230" s="36" t="n">
        <v>44433</v>
      </c>
      <c r="B230" t="n">
        <v>-0.01779713539259092</v>
      </c>
    </row>
    <row r="231">
      <c r="A231" s="36" t="n">
        <v>44434</v>
      </c>
      <c r="B231" t="n">
        <v>-0.01679723881005862</v>
      </c>
    </row>
    <row r="232">
      <c r="A232" s="36" t="n">
        <v>44435</v>
      </c>
      <c r="B232" t="n">
        <v>-0.01749706384887467</v>
      </c>
    </row>
    <row r="233">
      <c r="A233" s="36" t="n">
        <v>44438</v>
      </c>
      <c r="B233" t="n">
        <v>-0.02189610069439696</v>
      </c>
    </row>
    <row r="234">
      <c r="A234" s="36" t="n">
        <v>44439</v>
      </c>
      <c r="B234" t="n">
        <v>-0.02089620719526936</v>
      </c>
    </row>
    <row r="235">
      <c r="A235" s="36" t="n">
        <v>44440</v>
      </c>
      <c r="B235" t="n">
        <v>-0.01719681976620757</v>
      </c>
    </row>
    <row r="236">
      <c r="A236" s="36" t="n">
        <v>44441</v>
      </c>
      <c r="B236" t="n">
        <v>-0.01739672321994151</v>
      </c>
    </row>
    <row r="237">
      <c r="A237" s="36" t="n">
        <v>44442</v>
      </c>
      <c r="B237" t="n">
        <v>-0.01629687457199991</v>
      </c>
    </row>
    <row r="238">
      <c r="A238" s="36" t="n">
        <v>44445</v>
      </c>
      <c r="B238" t="n">
        <v>-0.01589678797777166</v>
      </c>
    </row>
    <row r="239">
      <c r="A239" s="36" t="n">
        <v>44446</v>
      </c>
      <c r="B239" t="n">
        <v>-0.01549681572279665</v>
      </c>
    </row>
    <row r="240">
      <c r="A240" s="36" t="n">
        <v>44447</v>
      </c>
      <c r="B240" t="n">
        <v>-0.01259736835797998</v>
      </c>
    </row>
    <row r="241">
      <c r="A241" s="36" t="n">
        <v>44448</v>
      </c>
      <c r="B241" t="n">
        <v>-0.01059774979285216</v>
      </c>
    </row>
    <row r="242">
      <c r="A242" s="36" t="n">
        <v>44449</v>
      </c>
      <c r="B242" t="n">
        <v>-0.01269726052255854</v>
      </c>
    </row>
    <row r="243">
      <c r="A243" s="36" t="n">
        <v>44452</v>
      </c>
      <c r="B243" t="n">
        <v>-0.01069758205337146</v>
      </c>
    </row>
    <row r="244">
      <c r="A244" s="36" t="n">
        <v>44453</v>
      </c>
      <c r="B244" t="n">
        <v>-0.01129740778656946</v>
      </c>
    </row>
    <row r="245">
      <c r="A245" s="36" t="n">
        <v>44454</v>
      </c>
      <c r="B245" t="n">
        <v>-0.01139734582357532</v>
      </c>
    </row>
    <row r="246">
      <c r="A246" s="44" t="inlineStr">
        <is>
          <t>Total general</t>
        </is>
      </c>
      <c r="B246" t="n">
        <v>5.109487955686667</v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H6"/>
  <sheetViews>
    <sheetView workbookViewId="0">
      <selection activeCell="G10" sqref="G10"/>
    </sheetView>
  </sheetViews>
  <sheetFormatPr baseColWidth="10" defaultRowHeight="15"/>
  <sheetData>
    <row r="1">
      <c r="B1" t="inlineStr">
        <is>
          <t xml:space="preserve">vendo </t>
        </is>
      </c>
      <c r="C1" t="inlineStr">
        <is>
          <t>compro</t>
        </is>
      </c>
      <c r="D1" t="inlineStr">
        <is>
          <t>vendo</t>
        </is>
      </c>
      <c r="E1" t="inlineStr">
        <is>
          <t>compro</t>
        </is>
      </c>
      <c r="H1" t="inlineStr">
        <is>
          <t>gane</t>
        </is>
      </c>
    </row>
    <row r="3">
      <c r="A3" t="inlineStr">
        <is>
          <t>precio</t>
        </is>
      </c>
      <c r="B3" t="n">
        <v>0.326</v>
      </c>
      <c r="C3" t="n">
        <v>0.364</v>
      </c>
      <c r="D3" t="n">
        <v>0.386</v>
      </c>
      <c r="E3" t="n">
        <v>0.3335</v>
      </c>
    </row>
    <row r="4">
      <c r="A4" t="inlineStr">
        <is>
          <t>cantidad</t>
        </is>
      </c>
      <c r="B4" s="70" t="n">
        <v>1000</v>
      </c>
      <c r="C4" s="72">
        <f>B5/C3</f>
        <v/>
      </c>
      <c r="D4" s="70">
        <f>C4</f>
        <v/>
      </c>
      <c r="E4" s="72">
        <f>D5/E3</f>
        <v/>
      </c>
    </row>
    <row r="5">
      <c r="A5" t="inlineStr">
        <is>
          <t>$</t>
        </is>
      </c>
      <c r="B5" s="71">
        <f>B4*B3</f>
        <v/>
      </c>
      <c r="C5">
        <f>C4*C3</f>
        <v/>
      </c>
      <c r="D5">
        <f>D4*D3</f>
        <v/>
      </c>
      <c r="E5" s="71">
        <f>E4*E3</f>
        <v/>
      </c>
      <c r="H5">
        <f>E5-B5-F6</f>
        <v/>
      </c>
    </row>
    <row r="6">
      <c r="A6" t="inlineStr">
        <is>
          <t>comisiones</t>
        </is>
      </c>
      <c r="B6">
        <f>B5*0.5/100</f>
        <v/>
      </c>
      <c r="C6">
        <f>C5*0.5/100</f>
        <v/>
      </c>
      <c r="D6">
        <f>D5*0.5/100</f>
        <v/>
      </c>
      <c r="E6">
        <f>E5*0.5/100</f>
        <v/>
      </c>
      <c r="F6" s="73">
        <f>E6+D6+C6+B6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Adrian Luis FERRELLI</dc:creator>
  <dcterms:created xmlns:dcterms="http://purl.org/dc/terms/" xmlns:xsi="http://www.w3.org/2001/XMLSchema-instance" xsi:type="dcterms:W3CDTF">2020-10-16T14:33:48Z</dcterms:created>
  <dcterms:modified xmlns:dcterms="http://purl.org/dc/terms/" xmlns:xsi="http://www.w3.org/2001/XMLSchema-instance" xsi:type="dcterms:W3CDTF">2021-10-26T22:13:48Z</dcterms:modified>
  <cp:lastModifiedBy>Adrian</cp:lastModifiedBy>
</cp:coreProperties>
</file>